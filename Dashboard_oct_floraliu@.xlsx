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loraliu\Desktop\weather_excel\weather-data-MySQL-system\"/>
    </mc:Choice>
  </mc:AlternateContent>
  <xr:revisionPtr revIDLastSave="0" documentId="13_ncr:1_{0F6586ED-40E9-454E-A2B3-5139C41743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6" r:id="rId1"/>
    <sheet name="register" sheetId="15" r:id="rId2"/>
    <sheet name="raw data table" sheetId="12" r:id="rId3"/>
    <sheet name="raw data" sheetId="8" r:id="rId4"/>
  </sheets>
  <definedNames>
    <definedName name="Slicer_Month">#N/A</definedName>
    <definedName name="Slicer_Year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5" i="8" l="1"/>
  <c r="A125" i="8"/>
  <c r="B124" i="8"/>
  <c r="A124" i="8"/>
  <c r="B123" i="8"/>
  <c r="A123" i="8"/>
  <c r="B122" i="8"/>
  <c r="A122" i="8"/>
  <c r="B121" i="8"/>
  <c r="A121" i="8"/>
  <c r="B120" i="8"/>
  <c r="A120" i="8"/>
  <c r="B119" i="8"/>
  <c r="A119" i="8"/>
  <c r="B118" i="8"/>
  <c r="A118" i="8"/>
  <c r="B117" i="8"/>
  <c r="A117" i="8"/>
  <c r="B116" i="8"/>
  <c r="A116" i="8"/>
  <c r="B115" i="8"/>
  <c r="A115" i="8"/>
  <c r="B114" i="8"/>
  <c r="A114" i="8"/>
  <c r="B113" i="8"/>
  <c r="A113" i="8"/>
  <c r="B112" i="8"/>
  <c r="A112" i="8"/>
  <c r="B111" i="8"/>
  <c r="A111" i="8"/>
  <c r="B110" i="8"/>
  <c r="A110" i="8"/>
  <c r="B109" i="8"/>
  <c r="A109" i="8"/>
  <c r="B108" i="8"/>
  <c r="A108" i="8"/>
  <c r="B107" i="8"/>
  <c r="A107" i="8"/>
  <c r="B106" i="8"/>
  <c r="A106" i="8"/>
  <c r="B105" i="8"/>
  <c r="A105" i="8"/>
  <c r="B104" i="8"/>
  <c r="A104" i="8"/>
  <c r="B103" i="8"/>
  <c r="A103" i="8"/>
  <c r="B102" i="8"/>
  <c r="A102" i="8"/>
  <c r="B101" i="8"/>
  <c r="A101" i="8"/>
  <c r="B100" i="8"/>
  <c r="A100" i="8"/>
  <c r="B99" i="8"/>
  <c r="A99" i="8"/>
  <c r="B98" i="8"/>
  <c r="A98" i="8"/>
  <c r="B97" i="8"/>
  <c r="A97" i="8"/>
  <c r="B96" i="8"/>
  <c r="A96" i="8"/>
  <c r="B95" i="8"/>
  <c r="A95" i="8"/>
  <c r="B94" i="8"/>
  <c r="A94" i="8"/>
  <c r="B93" i="8"/>
  <c r="A93" i="8"/>
  <c r="B92" i="8"/>
  <c r="A92" i="8"/>
  <c r="B91" i="8"/>
  <c r="A91" i="8"/>
  <c r="B90" i="8"/>
  <c r="A90" i="8"/>
  <c r="B89" i="8"/>
  <c r="A89" i="8"/>
  <c r="B88" i="8"/>
  <c r="A88" i="8"/>
  <c r="B87" i="8"/>
  <c r="A87" i="8"/>
  <c r="B86" i="8"/>
  <c r="A86" i="8"/>
  <c r="B85" i="8"/>
  <c r="A85" i="8"/>
  <c r="B84" i="8"/>
  <c r="A84" i="8"/>
  <c r="B83" i="8"/>
  <c r="A83" i="8"/>
  <c r="B82" i="8"/>
  <c r="A82" i="8"/>
  <c r="B81" i="8"/>
  <c r="A81" i="8"/>
  <c r="B80" i="8"/>
  <c r="A80" i="8"/>
  <c r="B79" i="8"/>
  <c r="A79" i="8"/>
  <c r="B78" i="8"/>
  <c r="A78" i="8"/>
  <c r="B77" i="8"/>
  <c r="A77" i="8"/>
  <c r="B76" i="8"/>
  <c r="A76" i="8"/>
  <c r="B75" i="8"/>
  <c r="A75" i="8"/>
  <c r="B74" i="8"/>
  <c r="A74" i="8"/>
  <c r="B73" i="8"/>
  <c r="A73" i="8"/>
  <c r="B72" i="8"/>
  <c r="A72" i="8"/>
  <c r="B71" i="8"/>
  <c r="A71" i="8"/>
  <c r="B70" i="8"/>
  <c r="A70" i="8"/>
  <c r="B69" i="8"/>
  <c r="A69" i="8"/>
  <c r="B68" i="8"/>
  <c r="A68" i="8"/>
  <c r="B67" i="8"/>
  <c r="A67" i="8"/>
  <c r="B66" i="8"/>
  <c r="A66" i="8"/>
  <c r="B65" i="8"/>
  <c r="A65" i="8"/>
  <c r="B64" i="8"/>
  <c r="A64" i="8"/>
  <c r="B63" i="8"/>
  <c r="A63" i="8"/>
  <c r="B62" i="8"/>
  <c r="A62" i="8"/>
  <c r="B61" i="8"/>
  <c r="A61" i="8"/>
  <c r="B60" i="8"/>
  <c r="A60" i="8"/>
  <c r="B59" i="8"/>
  <c r="A59" i="8"/>
  <c r="B58" i="8"/>
  <c r="A58" i="8"/>
  <c r="B57" i="8"/>
  <c r="A57" i="8"/>
  <c r="B56" i="8"/>
  <c r="A56" i="8"/>
  <c r="B55" i="8"/>
  <c r="A55" i="8"/>
  <c r="B54" i="8"/>
  <c r="A54" i="8"/>
  <c r="B53" i="8"/>
  <c r="A53" i="8"/>
  <c r="B52" i="8"/>
  <c r="A52" i="8"/>
  <c r="B51" i="8"/>
  <c r="A51" i="8"/>
  <c r="B50" i="8"/>
  <c r="A50" i="8"/>
  <c r="B49" i="8"/>
  <c r="A49" i="8"/>
  <c r="B48" i="8"/>
  <c r="A48" i="8"/>
  <c r="B47" i="8"/>
  <c r="A47" i="8"/>
  <c r="B46" i="8"/>
  <c r="A46" i="8"/>
  <c r="B45" i="8"/>
  <c r="A45" i="8"/>
  <c r="B44" i="8"/>
  <c r="A44" i="8"/>
  <c r="B43" i="8"/>
  <c r="A43" i="8"/>
  <c r="B42" i="8"/>
  <c r="A42" i="8"/>
  <c r="B41" i="8"/>
  <c r="A41" i="8"/>
  <c r="B40" i="8"/>
  <c r="A40" i="8"/>
  <c r="B39" i="8"/>
  <c r="A39" i="8"/>
  <c r="B38" i="8"/>
  <c r="A38" i="8"/>
  <c r="B37" i="8"/>
  <c r="A37" i="8"/>
  <c r="B36" i="8"/>
  <c r="A36" i="8"/>
  <c r="B35" i="8"/>
  <c r="A35" i="8"/>
  <c r="B34" i="8"/>
  <c r="A34" i="8"/>
  <c r="B33" i="8"/>
  <c r="A33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B3" i="8"/>
  <c r="A3" i="8"/>
  <c r="A4" i="12"/>
  <c r="B4" i="12"/>
  <c r="A5" i="12"/>
  <c r="B5" i="12"/>
  <c r="A6" i="12"/>
  <c r="B6" i="12"/>
  <c r="A7" i="12"/>
  <c r="B7" i="12"/>
  <c r="A8" i="12"/>
  <c r="B8" i="12"/>
  <c r="A9" i="12"/>
  <c r="B9" i="12"/>
  <c r="A10" i="12"/>
  <c r="B10" i="12"/>
  <c r="A11" i="12"/>
  <c r="B11" i="12"/>
  <c r="A12" i="12"/>
  <c r="B12" i="12"/>
  <c r="A13" i="12"/>
  <c r="B13" i="12"/>
  <c r="A14" i="12"/>
  <c r="B14" i="12"/>
  <c r="A15" i="12"/>
  <c r="B15" i="12"/>
  <c r="A16" i="12"/>
  <c r="B16" i="12"/>
  <c r="A17" i="12"/>
  <c r="B17" i="12"/>
  <c r="A18" i="12"/>
  <c r="B18" i="12"/>
  <c r="A19" i="12"/>
  <c r="B19" i="12"/>
  <c r="A20" i="12"/>
  <c r="B20" i="12"/>
  <c r="A21" i="12"/>
  <c r="B21" i="12"/>
  <c r="A22" i="12"/>
  <c r="B22" i="12"/>
  <c r="A23" i="12"/>
  <c r="B23" i="12"/>
  <c r="A24" i="12"/>
  <c r="B24" i="12"/>
  <c r="A25" i="12"/>
  <c r="B25" i="12"/>
  <c r="A26" i="12"/>
  <c r="B26" i="12"/>
  <c r="A27" i="12"/>
  <c r="B27" i="12"/>
  <c r="A28" i="12"/>
  <c r="B28" i="12"/>
  <c r="A29" i="12"/>
  <c r="B29" i="12"/>
  <c r="A30" i="12"/>
  <c r="B30" i="12"/>
  <c r="A31" i="12"/>
  <c r="B31" i="12"/>
  <c r="A32" i="12"/>
  <c r="B32" i="12"/>
  <c r="A33" i="12"/>
  <c r="B33" i="12"/>
  <c r="A34" i="12"/>
  <c r="B34" i="12"/>
  <c r="A35" i="12"/>
  <c r="B35" i="12"/>
  <c r="A36" i="12"/>
  <c r="B36" i="12"/>
  <c r="A37" i="12"/>
  <c r="B37" i="12"/>
  <c r="A38" i="12"/>
  <c r="B38" i="12"/>
  <c r="A39" i="12"/>
  <c r="B39" i="12"/>
  <c r="A40" i="12"/>
  <c r="B40" i="12"/>
  <c r="A41" i="12"/>
  <c r="B41" i="12"/>
  <c r="A42" i="12"/>
  <c r="B42" i="12"/>
  <c r="A43" i="12"/>
  <c r="B43" i="12"/>
  <c r="A44" i="12"/>
  <c r="B44" i="12"/>
  <c r="A45" i="12"/>
  <c r="B45" i="12"/>
  <c r="A46" i="12"/>
  <c r="B46" i="12"/>
  <c r="A47" i="12"/>
  <c r="B47" i="12"/>
  <c r="A48" i="12"/>
  <c r="B48" i="12"/>
  <c r="A49" i="12"/>
  <c r="B49" i="12"/>
  <c r="A50" i="12"/>
  <c r="B50" i="12"/>
  <c r="A51" i="12"/>
  <c r="B51" i="12"/>
  <c r="A52" i="12"/>
  <c r="B52" i="12"/>
  <c r="A53" i="12"/>
  <c r="B53" i="12"/>
  <c r="A54" i="12"/>
  <c r="B54" i="12"/>
  <c r="A55" i="12"/>
  <c r="B55" i="12"/>
  <c r="A56" i="12"/>
  <c r="B56" i="12"/>
  <c r="A57" i="12"/>
  <c r="B57" i="12"/>
  <c r="A58" i="12"/>
  <c r="B58" i="12"/>
  <c r="A59" i="12"/>
  <c r="B59" i="12"/>
  <c r="A60" i="12"/>
  <c r="B60" i="12"/>
  <c r="A61" i="12"/>
  <c r="B61" i="12"/>
  <c r="A62" i="12"/>
  <c r="B62" i="12"/>
  <c r="A63" i="12"/>
  <c r="B63" i="12"/>
  <c r="A64" i="12"/>
  <c r="B64" i="12"/>
  <c r="A65" i="12"/>
  <c r="B65" i="12"/>
  <c r="A66" i="12"/>
  <c r="B66" i="12"/>
  <c r="A67" i="12"/>
  <c r="B67" i="12"/>
  <c r="A68" i="12"/>
  <c r="B68" i="12"/>
  <c r="A69" i="12"/>
  <c r="B69" i="12"/>
  <c r="A70" i="12"/>
  <c r="B70" i="12"/>
  <c r="A71" i="12"/>
  <c r="B71" i="12"/>
  <c r="A72" i="12"/>
  <c r="B72" i="12"/>
  <c r="A73" i="12"/>
  <c r="B73" i="12"/>
  <c r="A74" i="12"/>
  <c r="B74" i="12"/>
  <c r="A75" i="12"/>
  <c r="B75" i="12"/>
  <c r="A76" i="12"/>
  <c r="B76" i="12"/>
  <c r="A77" i="12"/>
  <c r="B77" i="12"/>
  <c r="A78" i="12"/>
  <c r="B78" i="12"/>
  <c r="A79" i="12"/>
  <c r="B79" i="12"/>
  <c r="A80" i="12"/>
  <c r="B80" i="12"/>
  <c r="A81" i="12"/>
  <c r="B81" i="12"/>
  <c r="A82" i="12"/>
  <c r="B82" i="12"/>
  <c r="A83" i="12"/>
  <c r="B83" i="12"/>
  <c r="A84" i="12"/>
  <c r="B84" i="12"/>
  <c r="A85" i="12"/>
  <c r="B85" i="12"/>
  <c r="A86" i="12"/>
  <c r="B86" i="12"/>
  <c r="A87" i="12"/>
  <c r="B87" i="12"/>
  <c r="A88" i="12"/>
  <c r="B88" i="12"/>
  <c r="A89" i="12"/>
  <c r="B89" i="12"/>
  <c r="A90" i="12"/>
  <c r="B90" i="12"/>
  <c r="A91" i="12"/>
  <c r="B91" i="12"/>
  <c r="A92" i="12"/>
  <c r="B92" i="12"/>
  <c r="A93" i="12"/>
  <c r="B93" i="12"/>
  <c r="A94" i="12"/>
  <c r="B94" i="12"/>
  <c r="A95" i="12"/>
  <c r="B95" i="12"/>
  <c r="A96" i="12"/>
  <c r="B96" i="12"/>
  <c r="A97" i="12"/>
  <c r="B97" i="12"/>
  <c r="A98" i="12"/>
  <c r="B98" i="12"/>
  <c r="A99" i="12"/>
  <c r="B99" i="12"/>
  <c r="A100" i="12"/>
  <c r="B100" i="12"/>
  <c r="A101" i="12"/>
  <c r="B101" i="12"/>
  <c r="A102" i="12"/>
  <c r="B102" i="12"/>
  <c r="A103" i="12"/>
  <c r="B103" i="12"/>
  <c r="A104" i="12"/>
  <c r="B104" i="12"/>
  <c r="A105" i="12"/>
  <c r="B105" i="12"/>
  <c r="A106" i="12"/>
  <c r="B106" i="12"/>
  <c r="A107" i="12"/>
  <c r="B107" i="12"/>
  <c r="A108" i="12"/>
  <c r="B108" i="12"/>
  <c r="A109" i="12"/>
  <c r="B109" i="12"/>
  <c r="A110" i="12"/>
  <c r="B110" i="12"/>
  <c r="A111" i="12"/>
  <c r="B111" i="12"/>
  <c r="A112" i="12"/>
  <c r="B112" i="12"/>
  <c r="A113" i="12"/>
  <c r="B113" i="12"/>
  <c r="A114" i="12"/>
  <c r="B114" i="12"/>
  <c r="A115" i="12"/>
  <c r="B115" i="12"/>
  <c r="A116" i="12"/>
  <c r="B116" i="12"/>
  <c r="A117" i="12"/>
  <c r="B117" i="12"/>
  <c r="A118" i="12"/>
  <c r="B118" i="12"/>
  <c r="A119" i="12"/>
  <c r="B119" i="12"/>
  <c r="A120" i="12"/>
  <c r="B120" i="12"/>
  <c r="A121" i="12"/>
  <c r="B121" i="12"/>
  <c r="A122" i="12"/>
  <c r="B122" i="12"/>
  <c r="A123" i="12"/>
  <c r="B123" i="12"/>
  <c r="A124" i="12"/>
  <c r="B124" i="12"/>
  <c r="A125" i="12"/>
  <c r="B125" i="12"/>
  <c r="B3" i="12"/>
  <c r="A3" i="12"/>
</calcChain>
</file>

<file path=xl/sharedStrings.xml><?xml version="1.0" encoding="utf-8"?>
<sst xmlns="http://schemas.openxmlformats.org/spreadsheetml/2006/main" count="62" uniqueCount="24">
  <si>
    <t>觀測時間(day)</t>
  </si>
  <si>
    <t>氣溫(℃)</t>
  </si>
  <si>
    <t>相對溼度(%)</t>
  </si>
  <si>
    <t>風速(m/s)</t>
  </si>
  <si>
    <t>風向(360degree)</t>
  </si>
  <si>
    <t>最大瞬間風(m/s)</t>
  </si>
  <si>
    <t>降水量(mm)</t>
  </si>
  <si>
    <t>ObsTime</t>
  </si>
  <si>
    <t>Temperature</t>
  </si>
  <si>
    <t>RH</t>
  </si>
  <si>
    <t>WS</t>
  </si>
  <si>
    <t>WD</t>
  </si>
  <si>
    <t>WSGust</t>
  </si>
  <si>
    <t>Precp</t>
  </si>
  <si>
    <t>/</t>
  </si>
  <si>
    <t>X</t>
  </si>
  <si>
    <t>列標籤</t>
  </si>
  <si>
    <t>總計</t>
  </si>
  <si>
    <t>平均值 - 氣溫(℃)</t>
  </si>
  <si>
    <t>平均值 - 降水量(mm)</t>
  </si>
  <si>
    <t>Year</t>
  </si>
  <si>
    <t>Month</t>
  </si>
  <si>
    <t>平均值 - 相對溼度(%)</t>
  </si>
  <si>
    <t>計數 - 降水量(mm)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</si>
</sst>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14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一般" xfId="0" builtinId="0"/>
  </cellStyles>
  <dxfs count="7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9" formatCode="yyyy/m/d"/>
    </dxf>
    <dxf>
      <alignment horizontal="general" vertical="center" textRotation="0" wrapText="0" indent="0" justifyLastLine="0" shrinkToFit="0" readingOrder="0"/>
    </dxf>
  </dxfs>
  <tableStyles count="2" defaultTableStyle="TableStyleMedium2" defaultPivotStyle="PivotStyleLight16">
    <tableStyle name="交叉分析篩選器樣式 1" pivot="0" table="0" count="0" xr9:uid="{859D5B9E-7810-4E0F-BB44-F819814DA02E}"/>
    <tableStyle name="交叉分析篩選器樣式 2" pivot="0" table="0" count="0" xr9:uid="{420C50B5-FD5E-4926-B2BF-051BDEB42BEC}"/>
  </tableStyles>
  <extLst>
    <ext xmlns:x14="http://schemas.microsoft.com/office/spreadsheetml/2009/9/main" uri="{EB79DEF2-80B8-43e5-95BD-54CBDDF9020C}">
      <x14:slicerStyles defaultSlicerStyle="SlicerStyleLight1">
        <x14:slicerStyle name="交叉分析篩選器樣式 1"/>
        <x14:slicerStyle name="交叉分析篩選器樣式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[Dashboard_oct_floraliu@.xlsx]register!樞紐分析表3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b="1"/>
              <a:t>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register!$B$3</c:f>
              <c:strCache>
                <c:ptCount val="1"/>
                <c:pt idx="0">
                  <c:v>合計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register!$A$4:$A$35</c:f>
              <c:strCache>
                <c:ptCount val="31"/>
                <c:pt idx="0">
                  <c:v>2025/7/1</c:v>
                </c:pt>
                <c:pt idx="1">
                  <c:v>2025/7/2</c:v>
                </c:pt>
                <c:pt idx="2">
                  <c:v>2025/7/3</c:v>
                </c:pt>
                <c:pt idx="3">
                  <c:v>2025/7/4</c:v>
                </c:pt>
                <c:pt idx="4">
                  <c:v>2025/7/5</c:v>
                </c:pt>
                <c:pt idx="5">
                  <c:v>2025/7/6</c:v>
                </c:pt>
                <c:pt idx="6">
                  <c:v>2025/7/7</c:v>
                </c:pt>
                <c:pt idx="7">
                  <c:v>2025/7/8</c:v>
                </c:pt>
                <c:pt idx="8">
                  <c:v>2025/7/9</c:v>
                </c:pt>
                <c:pt idx="9">
                  <c:v>2025/7/10</c:v>
                </c:pt>
                <c:pt idx="10">
                  <c:v>2025/7/11</c:v>
                </c:pt>
                <c:pt idx="11">
                  <c:v>2025/7/12</c:v>
                </c:pt>
                <c:pt idx="12">
                  <c:v>2025/7/13</c:v>
                </c:pt>
                <c:pt idx="13">
                  <c:v>2025/7/14</c:v>
                </c:pt>
                <c:pt idx="14">
                  <c:v>2025/7/15</c:v>
                </c:pt>
                <c:pt idx="15">
                  <c:v>2025/7/16</c:v>
                </c:pt>
                <c:pt idx="16">
                  <c:v>2025/7/17</c:v>
                </c:pt>
                <c:pt idx="17">
                  <c:v>2025/7/18</c:v>
                </c:pt>
                <c:pt idx="18">
                  <c:v>2025/7/19</c:v>
                </c:pt>
                <c:pt idx="19">
                  <c:v>2025/7/20</c:v>
                </c:pt>
                <c:pt idx="20">
                  <c:v>2025/7/21</c:v>
                </c:pt>
                <c:pt idx="21">
                  <c:v>2025/7/22</c:v>
                </c:pt>
                <c:pt idx="22">
                  <c:v>2025/7/23</c:v>
                </c:pt>
                <c:pt idx="23">
                  <c:v>2025/7/24</c:v>
                </c:pt>
                <c:pt idx="24">
                  <c:v>2025/7/25</c:v>
                </c:pt>
                <c:pt idx="25">
                  <c:v>2025/7/26</c:v>
                </c:pt>
                <c:pt idx="26">
                  <c:v>2025/7/27</c:v>
                </c:pt>
                <c:pt idx="27">
                  <c:v>2025/7/28</c:v>
                </c:pt>
                <c:pt idx="28">
                  <c:v>2025/7/29</c:v>
                </c:pt>
                <c:pt idx="29">
                  <c:v>2025/7/30</c:v>
                </c:pt>
                <c:pt idx="30">
                  <c:v>2025/7/31</c:v>
                </c:pt>
              </c:strCache>
            </c:strRef>
          </c:cat>
          <c:val>
            <c:numRef>
              <c:f>register!$B$4:$B$35</c:f>
              <c:numCache>
                <c:formatCode>General</c:formatCode>
                <c:ptCount val="31"/>
                <c:pt idx="0">
                  <c:v>31.7</c:v>
                </c:pt>
                <c:pt idx="1">
                  <c:v>31.8</c:v>
                </c:pt>
                <c:pt idx="2">
                  <c:v>32</c:v>
                </c:pt>
                <c:pt idx="3">
                  <c:v>32.1</c:v>
                </c:pt>
                <c:pt idx="4">
                  <c:v>30.2</c:v>
                </c:pt>
                <c:pt idx="5">
                  <c:v>28.7</c:v>
                </c:pt>
                <c:pt idx="6">
                  <c:v>27.3</c:v>
                </c:pt>
                <c:pt idx="7">
                  <c:v>29.4</c:v>
                </c:pt>
                <c:pt idx="8">
                  <c:v>25.5</c:v>
                </c:pt>
                <c:pt idx="9">
                  <c:v>25.9</c:v>
                </c:pt>
                <c:pt idx="10">
                  <c:v>27.6</c:v>
                </c:pt>
                <c:pt idx="11">
                  <c:v>29.2</c:v>
                </c:pt>
                <c:pt idx="12">
                  <c:v>30.6</c:v>
                </c:pt>
                <c:pt idx="13">
                  <c:v>30.1</c:v>
                </c:pt>
                <c:pt idx="14">
                  <c:v>31.9</c:v>
                </c:pt>
                <c:pt idx="15">
                  <c:v>30.2</c:v>
                </c:pt>
                <c:pt idx="16">
                  <c:v>30.5</c:v>
                </c:pt>
                <c:pt idx="17">
                  <c:v>29.9</c:v>
                </c:pt>
                <c:pt idx="18">
                  <c:v>29.6</c:v>
                </c:pt>
                <c:pt idx="19">
                  <c:v>29.3</c:v>
                </c:pt>
                <c:pt idx="20">
                  <c:v>28.2</c:v>
                </c:pt>
                <c:pt idx="21">
                  <c:v>30.2</c:v>
                </c:pt>
                <c:pt idx="22">
                  <c:v>30.7</c:v>
                </c:pt>
                <c:pt idx="23">
                  <c:v>28.2</c:v>
                </c:pt>
                <c:pt idx="24">
                  <c:v>27.7</c:v>
                </c:pt>
                <c:pt idx="25">
                  <c:v>29.9</c:v>
                </c:pt>
                <c:pt idx="26">
                  <c:v>29.7</c:v>
                </c:pt>
                <c:pt idx="27">
                  <c:v>29.1</c:v>
                </c:pt>
                <c:pt idx="28">
                  <c:v>28.9</c:v>
                </c:pt>
                <c:pt idx="29">
                  <c:v>31</c:v>
                </c:pt>
                <c:pt idx="30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D7-4181-8D79-6BABF2BEF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49087"/>
        <c:axId val="14149567"/>
      </c:lineChart>
      <c:catAx>
        <c:axId val="1414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9567"/>
        <c:crosses val="autoZero"/>
        <c:auto val="1"/>
        <c:lblAlgn val="ctr"/>
        <c:lblOffset val="100"/>
        <c:noMultiLvlLbl val="0"/>
      </c:catAx>
      <c:valAx>
        <c:axId val="14149567"/>
        <c:scaling>
          <c:orientation val="minMax"/>
          <c:max val="35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[Dashboard_oct_floraliu@.xlsx]register!樞紐分析表5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Precipitation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register!$E$3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register!$D$4:$D$35</c:f>
              <c:strCache>
                <c:ptCount val="31"/>
                <c:pt idx="0">
                  <c:v>2025/7/1</c:v>
                </c:pt>
                <c:pt idx="1">
                  <c:v>2025/7/2</c:v>
                </c:pt>
                <c:pt idx="2">
                  <c:v>2025/7/3</c:v>
                </c:pt>
                <c:pt idx="3">
                  <c:v>2025/7/4</c:v>
                </c:pt>
                <c:pt idx="4">
                  <c:v>2025/7/5</c:v>
                </c:pt>
                <c:pt idx="5">
                  <c:v>2025/7/6</c:v>
                </c:pt>
                <c:pt idx="6">
                  <c:v>2025/7/7</c:v>
                </c:pt>
                <c:pt idx="7">
                  <c:v>2025/7/8</c:v>
                </c:pt>
                <c:pt idx="8">
                  <c:v>2025/7/9</c:v>
                </c:pt>
                <c:pt idx="9">
                  <c:v>2025/7/10</c:v>
                </c:pt>
                <c:pt idx="10">
                  <c:v>2025/7/11</c:v>
                </c:pt>
                <c:pt idx="11">
                  <c:v>2025/7/12</c:v>
                </c:pt>
                <c:pt idx="12">
                  <c:v>2025/7/13</c:v>
                </c:pt>
                <c:pt idx="13">
                  <c:v>2025/7/14</c:v>
                </c:pt>
                <c:pt idx="14">
                  <c:v>2025/7/15</c:v>
                </c:pt>
                <c:pt idx="15">
                  <c:v>2025/7/16</c:v>
                </c:pt>
                <c:pt idx="16">
                  <c:v>2025/7/17</c:v>
                </c:pt>
                <c:pt idx="17">
                  <c:v>2025/7/18</c:v>
                </c:pt>
                <c:pt idx="18">
                  <c:v>2025/7/19</c:v>
                </c:pt>
                <c:pt idx="19">
                  <c:v>2025/7/20</c:v>
                </c:pt>
                <c:pt idx="20">
                  <c:v>2025/7/21</c:v>
                </c:pt>
                <c:pt idx="21">
                  <c:v>2025/7/22</c:v>
                </c:pt>
                <c:pt idx="22">
                  <c:v>2025/7/23</c:v>
                </c:pt>
                <c:pt idx="23">
                  <c:v>2025/7/24</c:v>
                </c:pt>
                <c:pt idx="24">
                  <c:v>2025/7/25</c:v>
                </c:pt>
                <c:pt idx="25">
                  <c:v>2025/7/26</c:v>
                </c:pt>
                <c:pt idx="26">
                  <c:v>2025/7/27</c:v>
                </c:pt>
                <c:pt idx="27">
                  <c:v>2025/7/28</c:v>
                </c:pt>
                <c:pt idx="28">
                  <c:v>2025/7/29</c:v>
                </c:pt>
                <c:pt idx="29">
                  <c:v>2025/7/30</c:v>
                </c:pt>
                <c:pt idx="30">
                  <c:v>2025/7/31</c:v>
                </c:pt>
              </c:strCache>
            </c:strRef>
          </c:cat>
          <c:val>
            <c:numRef>
              <c:f>register!$E$4:$E$35</c:f>
              <c:numCache>
                <c:formatCode>General</c:formatCode>
                <c:ptCount val="31"/>
                <c:pt idx="5">
                  <c:v>1</c:v>
                </c:pt>
                <c:pt idx="6">
                  <c:v>10</c:v>
                </c:pt>
                <c:pt idx="7">
                  <c:v>1.5</c:v>
                </c:pt>
                <c:pt idx="8">
                  <c:v>11.5</c:v>
                </c:pt>
                <c:pt idx="9">
                  <c:v>4.5</c:v>
                </c:pt>
                <c:pt idx="10">
                  <c:v>0.5</c:v>
                </c:pt>
                <c:pt idx="11">
                  <c:v>32</c:v>
                </c:pt>
                <c:pt idx="15">
                  <c:v>5.5</c:v>
                </c:pt>
                <c:pt idx="17">
                  <c:v>4</c:v>
                </c:pt>
                <c:pt idx="18">
                  <c:v>74</c:v>
                </c:pt>
                <c:pt idx="19">
                  <c:v>2</c:v>
                </c:pt>
                <c:pt idx="20">
                  <c:v>18</c:v>
                </c:pt>
                <c:pt idx="22">
                  <c:v>8</c:v>
                </c:pt>
                <c:pt idx="23">
                  <c:v>15</c:v>
                </c:pt>
                <c:pt idx="24">
                  <c:v>44.5</c:v>
                </c:pt>
                <c:pt idx="25">
                  <c:v>3</c:v>
                </c:pt>
                <c:pt idx="26">
                  <c:v>2</c:v>
                </c:pt>
                <c:pt idx="27">
                  <c:v>5.5</c:v>
                </c:pt>
                <c:pt idx="28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0-45A3-9FEF-198C5A114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749951"/>
        <c:axId val="932770111"/>
      </c:barChart>
      <c:catAx>
        <c:axId val="93274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70111"/>
        <c:crosses val="autoZero"/>
        <c:auto val="1"/>
        <c:lblAlgn val="ctr"/>
        <c:lblOffset val="100"/>
        <c:noMultiLvlLbl val="0"/>
      </c:catAx>
      <c:valAx>
        <c:axId val="932770111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4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[Dashboard_oct_floraliu@.xlsx]register!樞紐分析表1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Humidity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register!$H$3</c:f>
              <c:strCache>
                <c:ptCount val="1"/>
                <c:pt idx="0">
                  <c:v>合計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register!$G$4:$G$35</c:f>
              <c:strCache>
                <c:ptCount val="31"/>
                <c:pt idx="0">
                  <c:v>2025/7/1</c:v>
                </c:pt>
                <c:pt idx="1">
                  <c:v>2025/7/2</c:v>
                </c:pt>
                <c:pt idx="2">
                  <c:v>2025/7/3</c:v>
                </c:pt>
                <c:pt idx="3">
                  <c:v>2025/7/4</c:v>
                </c:pt>
                <c:pt idx="4">
                  <c:v>2025/7/5</c:v>
                </c:pt>
                <c:pt idx="5">
                  <c:v>2025/7/6</c:v>
                </c:pt>
                <c:pt idx="6">
                  <c:v>2025/7/7</c:v>
                </c:pt>
                <c:pt idx="7">
                  <c:v>2025/7/8</c:v>
                </c:pt>
                <c:pt idx="8">
                  <c:v>2025/7/9</c:v>
                </c:pt>
                <c:pt idx="9">
                  <c:v>2025/7/10</c:v>
                </c:pt>
                <c:pt idx="10">
                  <c:v>2025/7/11</c:v>
                </c:pt>
                <c:pt idx="11">
                  <c:v>2025/7/12</c:v>
                </c:pt>
                <c:pt idx="12">
                  <c:v>2025/7/13</c:v>
                </c:pt>
                <c:pt idx="13">
                  <c:v>2025/7/14</c:v>
                </c:pt>
                <c:pt idx="14">
                  <c:v>2025/7/15</c:v>
                </c:pt>
                <c:pt idx="15">
                  <c:v>2025/7/16</c:v>
                </c:pt>
                <c:pt idx="16">
                  <c:v>2025/7/17</c:v>
                </c:pt>
                <c:pt idx="17">
                  <c:v>2025/7/18</c:v>
                </c:pt>
                <c:pt idx="18">
                  <c:v>2025/7/19</c:v>
                </c:pt>
                <c:pt idx="19">
                  <c:v>2025/7/20</c:v>
                </c:pt>
                <c:pt idx="20">
                  <c:v>2025/7/21</c:v>
                </c:pt>
                <c:pt idx="21">
                  <c:v>2025/7/22</c:v>
                </c:pt>
                <c:pt idx="22">
                  <c:v>2025/7/23</c:v>
                </c:pt>
                <c:pt idx="23">
                  <c:v>2025/7/24</c:v>
                </c:pt>
                <c:pt idx="24">
                  <c:v>2025/7/25</c:v>
                </c:pt>
                <c:pt idx="25">
                  <c:v>2025/7/26</c:v>
                </c:pt>
                <c:pt idx="26">
                  <c:v>2025/7/27</c:v>
                </c:pt>
                <c:pt idx="27">
                  <c:v>2025/7/28</c:v>
                </c:pt>
                <c:pt idx="28">
                  <c:v>2025/7/29</c:v>
                </c:pt>
                <c:pt idx="29">
                  <c:v>2025/7/30</c:v>
                </c:pt>
                <c:pt idx="30">
                  <c:v>2025/7/31</c:v>
                </c:pt>
              </c:strCache>
            </c:strRef>
          </c:cat>
          <c:val>
            <c:numRef>
              <c:f>register!$H$4:$H$35</c:f>
              <c:numCache>
                <c:formatCode>General</c:formatCode>
                <c:ptCount val="31"/>
                <c:pt idx="0">
                  <c:v>70</c:v>
                </c:pt>
                <c:pt idx="1">
                  <c:v>68</c:v>
                </c:pt>
                <c:pt idx="2">
                  <c:v>67</c:v>
                </c:pt>
                <c:pt idx="3">
                  <c:v>67</c:v>
                </c:pt>
                <c:pt idx="4">
                  <c:v>79</c:v>
                </c:pt>
                <c:pt idx="5">
                  <c:v>78</c:v>
                </c:pt>
                <c:pt idx="6">
                  <c:v>92</c:v>
                </c:pt>
                <c:pt idx="7">
                  <c:v>85</c:v>
                </c:pt>
                <c:pt idx="8">
                  <c:v>94</c:v>
                </c:pt>
                <c:pt idx="9">
                  <c:v>95</c:v>
                </c:pt>
                <c:pt idx="10">
                  <c:v>92</c:v>
                </c:pt>
                <c:pt idx="11">
                  <c:v>84</c:v>
                </c:pt>
                <c:pt idx="12">
                  <c:v>84</c:v>
                </c:pt>
                <c:pt idx="13">
                  <c:v>84</c:v>
                </c:pt>
                <c:pt idx="14">
                  <c:v>77</c:v>
                </c:pt>
                <c:pt idx="15">
                  <c:v>86</c:v>
                </c:pt>
                <c:pt idx="16">
                  <c:v>85</c:v>
                </c:pt>
                <c:pt idx="17">
                  <c:v>81</c:v>
                </c:pt>
                <c:pt idx="18">
                  <c:v>83</c:v>
                </c:pt>
                <c:pt idx="19">
                  <c:v>84</c:v>
                </c:pt>
                <c:pt idx="20">
                  <c:v>88</c:v>
                </c:pt>
                <c:pt idx="21">
                  <c:v>75</c:v>
                </c:pt>
                <c:pt idx="22">
                  <c:v>75</c:v>
                </c:pt>
                <c:pt idx="23">
                  <c:v>91</c:v>
                </c:pt>
                <c:pt idx="24">
                  <c:v>93</c:v>
                </c:pt>
                <c:pt idx="25">
                  <c:v>89</c:v>
                </c:pt>
                <c:pt idx="26">
                  <c:v>89</c:v>
                </c:pt>
                <c:pt idx="27">
                  <c:v>90</c:v>
                </c:pt>
                <c:pt idx="28">
                  <c:v>87</c:v>
                </c:pt>
                <c:pt idx="29">
                  <c:v>81</c:v>
                </c:pt>
                <c:pt idx="30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9C-4F6C-B7D7-BEECBBE9F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810287"/>
        <c:axId val="962812207"/>
      </c:lineChart>
      <c:catAx>
        <c:axId val="96281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812207"/>
        <c:crosses val="autoZero"/>
        <c:auto val="1"/>
        <c:lblAlgn val="ctr"/>
        <c:lblOffset val="100"/>
        <c:noMultiLvlLbl val="0"/>
      </c:catAx>
      <c:valAx>
        <c:axId val="962812207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81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[Dashboard_oct_floraliu@.xlsx]register!樞紐分析表3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register!$B$3</c:f>
              <c:strCache>
                <c:ptCount val="1"/>
                <c:pt idx="0">
                  <c:v>合計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register!$A$4:$A$35</c:f>
              <c:strCache>
                <c:ptCount val="31"/>
                <c:pt idx="0">
                  <c:v>2025/7/1</c:v>
                </c:pt>
                <c:pt idx="1">
                  <c:v>2025/7/2</c:v>
                </c:pt>
                <c:pt idx="2">
                  <c:v>2025/7/3</c:v>
                </c:pt>
                <c:pt idx="3">
                  <c:v>2025/7/4</c:v>
                </c:pt>
                <c:pt idx="4">
                  <c:v>2025/7/5</c:v>
                </c:pt>
                <c:pt idx="5">
                  <c:v>2025/7/6</c:v>
                </c:pt>
                <c:pt idx="6">
                  <c:v>2025/7/7</c:v>
                </c:pt>
                <c:pt idx="7">
                  <c:v>2025/7/8</c:v>
                </c:pt>
                <c:pt idx="8">
                  <c:v>2025/7/9</c:v>
                </c:pt>
                <c:pt idx="9">
                  <c:v>2025/7/10</c:v>
                </c:pt>
                <c:pt idx="10">
                  <c:v>2025/7/11</c:v>
                </c:pt>
                <c:pt idx="11">
                  <c:v>2025/7/12</c:v>
                </c:pt>
                <c:pt idx="12">
                  <c:v>2025/7/13</c:v>
                </c:pt>
                <c:pt idx="13">
                  <c:v>2025/7/14</c:v>
                </c:pt>
                <c:pt idx="14">
                  <c:v>2025/7/15</c:v>
                </c:pt>
                <c:pt idx="15">
                  <c:v>2025/7/16</c:v>
                </c:pt>
                <c:pt idx="16">
                  <c:v>2025/7/17</c:v>
                </c:pt>
                <c:pt idx="17">
                  <c:v>2025/7/18</c:v>
                </c:pt>
                <c:pt idx="18">
                  <c:v>2025/7/19</c:v>
                </c:pt>
                <c:pt idx="19">
                  <c:v>2025/7/20</c:v>
                </c:pt>
                <c:pt idx="20">
                  <c:v>2025/7/21</c:v>
                </c:pt>
                <c:pt idx="21">
                  <c:v>2025/7/22</c:v>
                </c:pt>
                <c:pt idx="22">
                  <c:v>2025/7/23</c:v>
                </c:pt>
                <c:pt idx="23">
                  <c:v>2025/7/24</c:v>
                </c:pt>
                <c:pt idx="24">
                  <c:v>2025/7/25</c:v>
                </c:pt>
                <c:pt idx="25">
                  <c:v>2025/7/26</c:v>
                </c:pt>
                <c:pt idx="26">
                  <c:v>2025/7/27</c:v>
                </c:pt>
                <c:pt idx="27">
                  <c:v>2025/7/28</c:v>
                </c:pt>
                <c:pt idx="28">
                  <c:v>2025/7/29</c:v>
                </c:pt>
                <c:pt idx="29">
                  <c:v>2025/7/30</c:v>
                </c:pt>
                <c:pt idx="30">
                  <c:v>2025/7/31</c:v>
                </c:pt>
              </c:strCache>
            </c:strRef>
          </c:cat>
          <c:val>
            <c:numRef>
              <c:f>register!$B$4:$B$35</c:f>
              <c:numCache>
                <c:formatCode>General</c:formatCode>
                <c:ptCount val="31"/>
                <c:pt idx="0">
                  <c:v>31.7</c:v>
                </c:pt>
                <c:pt idx="1">
                  <c:v>31.8</c:v>
                </c:pt>
                <c:pt idx="2">
                  <c:v>32</c:v>
                </c:pt>
                <c:pt idx="3">
                  <c:v>32.1</c:v>
                </c:pt>
                <c:pt idx="4">
                  <c:v>30.2</c:v>
                </c:pt>
                <c:pt idx="5">
                  <c:v>28.7</c:v>
                </c:pt>
                <c:pt idx="6">
                  <c:v>27.3</c:v>
                </c:pt>
                <c:pt idx="7">
                  <c:v>29.4</c:v>
                </c:pt>
                <c:pt idx="8">
                  <c:v>25.5</c:v>
                </c:pt>
                <c:pt idx="9">
                  <c:v>25.9</c:v>
                </c:pt>
                <c:pt idx="10">
                  <c:v>27.6</c:v>
                </c:pt>
                <c:pt idx="11">
                  <c:v>29.2</c:v>
                </c:pt>
                <c:pt idx="12">
                  <c:v>30.6</c:v>
                </c:pt>
                <c:pt idx="13">
                  <c:v>30.1</c:v>
                </c:pt>
                <c:pt idx="14">
                  <c:v>31.9</c:v>
                </c:pt>
                <c:pt idx="15">
                  <c:v>30.2</c:v>
                </c:pt>
                <c:pt idx="16">
                  <c:v>30.5</c:v>
                </c:pt>
                <c:pt idx="17">
                  <c:v>29.9</c:v>
                </c:pt>
                <c:pt idx="18">
                  <c:v>29.6</c:v>
                </c:pt>
                <c:pt idx="19">
                  <c:v>29.3</c:v>
                </c:pt>
                <c:pt idx="20">
                  <c:v>28.2</c:v>
                </c:pt>
                <c:pt idx="21">
                  <c:v>30.2</c:v>
                </c:pt>
                <c:pt idx="22">
                  <c:v>30.7</c:v>
                </c:pt>
                <c:pt idx="23">
                  <c:v>28.2</c:v>
                </c:pt>
                <c:pt idx="24">
                  <c:v>27.7</c:v>
                </c:pt>
                <c:pt idx="25">
                  <c:v>29.9</c:v>
                </c:pt>
                <c:pt idx="26">
                  <c:v>29.7</c:v>
                </c:pt>
                <c:pt idx="27">
                  <c:v>29.1</c:v>
                </c:pt>
                <c:pt idx="28">
                  <c:v>28.9</c:v>
                </c:pt>
                <c:pt idx="29">
                  <c:v>31</c:v>
                </c:pt>
                <c:pt idx="30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9-4BED-86B8-E87658A41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49087"/>
        <c:axId val="14149567"/>
      </c:lineChart>
      <c:catAx>
        <c:axId val="1414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9567"/>
        <c:crosses val="autoZero"/>
        <c:auto val="1"/>
        <c:lblAlgn val="ctr"/>
        <c:lblOffset val="100"/>
        <c:noMultiLvlLbl val="0"/>
      </c:catAx>
      <c:valAx>
        <c:axId val="1414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[Dashboard_oct_floraliu@.xlsx]register!樞紐分析表5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register!$E$3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register!$D$4:$D$35</c:f>
              <c:strCache>
                <c:ptCount val="31"/>
                <c:pt idx="0">
                  <c:v>2025/7/1</c:v>
                </c:pt>
                <c:pt idx="1">
                  <c:v>2025/7/2</c:v>
                </c:pt>
                <c:pt idx="2">
                  <c:v>2025/7/3</c:v>
                </c:pt>
                <c:pt idx="3">
                  <c:v>2025/7/4</c:v>
                </c:pt>
                <c:pt idx="4">
                  <c:v>2025/7/5</c:v>
                </c:pt>
                <c:pt idx="5">
                  <c:v>2025/7/6</c:v>
                </c:pt>
                <c:pt idx="6">
                  <c:v>2025/7/7</c:v>
                </c:pt>
                <c:pt idx="7">
                  <c:v>2025/7/8</c:v>
                </c:pt>
                <c:pt idx="8">
                  <c:v>2025/7/9</c:v>
                </c:pt>
                <c:pt idx="9">
                  <c:v>2025/7/10</c:v>
                </c:pt>
                <c:pt idx="10">
                  <c:v>2025/7/11</c:v>
                </c:pt>
                <c:pt idx="11">
                  <c:v>2025/7/12</c:v>
                </c:pt>
                <c:pt idx="12">
                  <c:v>2025/7/13</c:v>
                </c:pt>
                <c:pt idx="13">
                  <c:v>2025/7/14</c:v>
                </c:pt>
                <c:pt idx="14">
                  <c:v>2025/7/15</c:v>
                </c:pt>
                <c:pt idx="15">
                  <c:v>2025/7/16</c:v>
                </c:pt>
                <c:pt idx="16">
                  <c:v>2025/7/17</c:v>
                </c:pt>
                <c:pt idx="17">
                  <c:v>2025/7/18</c:v>
                </c:pt>
                <c:pt idx="18">
                  <c:v>2025/7/19</c:v>
                </c:pt>
                <c:pt idx="19">
                  <c:v>2025/7/20</c:v>
                </c:pt>
                <c:pt idx="20">
                  <c:v>2025/7/21</c:v>
                </c:pt>
                <c:pt idx="21">
                  <c:v>2025/7/22</c:v>
                </c:pt>
                <c:pt idx="22">
                  <c:v>2025/7/23</c:v>
                </c:pt>
                <c:pt idx="23">
                  <c:v>2025/7/24</c:v>
                </c:pt>
                <c:pt idx="24">
                  <c:v>2025/7/25</c:v>
                </c:pt>
                <c:pt idx="25">
                  <c:v>2025/7/26</c:v>
                </c:pt>
                <c:pt idx="26">
                  <c:v>2025/7/27</c:v>
                </c:pt>
                <c:pt idx="27">
                  <c:v>2025/7/28</c:v>
                </c:pt>
                <c:pt idx="28">
                  <c:v>2025/7/29</c:v>
                </c:pt>
                <c:pt idx="29">
                  <c:v>2025/7/30</c:v>
                </c:pt>
                <c:pt idx="30">
                  <c:v>2025/7/31</c:v>
                </c:pt>
              </c:strCache>
            </c:strRef>
          </c:cat>
          <c:val>
            <c:numRef>
              <c:f>register!$E$4:$E$35</c:f>
              <c:numCache>
                <c:formatCode>General</c:formatCode>
                <c:ptCount val="31"/>
                <c:pt idx="5">
                  <c:v>1</c:v>
                </c:pt>
                <c:pt idx="6">
                  <c:v>10</c:v>
                </c:pt>
                <c:pt idx="7">
                  <c:v>1.5</c:v>
                </c:pt>
                <c:pt idx="8">
                  <c:v>11.5</c:v>
                </c:pt>
                <c:pt idx="9">
                  <c:v>4.5</c:v>
                </c:pt>
                <c:pt idx="10">
                  <c:v>0.5</c:v>
                </c:pt>
                <c:pt idx="11">
                  <c:v>32</c:v>
                </c:pt>
                <c:pt idx="15">
                  <c:v>5.5</c:v>
                </c:pt>
                <c:pt idx="17">
                  <c:v>4</c:v>
                </c:pt>
                <c:pt idx="18">
                  <c:v>74</c:v>
                </c:pt>
                <c:pt idx="19">
                  <c:v>2</c:v>
                </c:pt>
                <c:pt idx="20">
                  <c:v>18</c:v>
                </c:pt>
                <c:pt idx="22">
                  <c:v>8</c:v>
                </c:pt>
                <c:pt idx="23">
                  <c:v>15</c:v>
                </c:pt>
                <c:pt idx="24">
                  <c:v>44.5</c:v>
                </c:pt>
                <c:pt idx="25">
                  <c:v>3</c:v>
                </c:pt>
                <c:pt idx="26">
                  <c:v>2</c:v>
                </c:pt>
                <c:pt idx="27">
                  <c:v>5.5</c:v>
                </c:pt>
                <c:pt idx="28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9-4326-9C5B-141501350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749951"/>
        <c:axId val="932770111"/>
      </c:barChart>
      <c:catAx>
        <c:axId val="93274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70111"/>
        <c:crosses val="autoZero"/>
        <c:auto val="1"/>
        <c:lblAlgn val="ctr"/>
        <c:lblOffset val="100"/>
        <c:noMultiLvlLbl val="0"/>
      </c:catAx>
      <c:valAx>
        <c:axId val="93277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4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[Dashboard_oct_floraliu@.xlsx]register!樞紐分析表1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Humidity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register!$H$3</c:f>
              <c:strCache>
                <c:ptCount val="1"/>
                <c:pt idx="0">
                  <c:v>合計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register!$G$4:$G$35</c:f>
              <c:strCache>
                <c:ptCount val="31"/>
                <c:pt idx="0">
                  <c:v>2025/7/1</c:v>
                </c:pt>
                <c:pt idx="1">
                  <c:v>2025/7/2</c:v>
                </c:pt>
                <c:pt idx="2">
                  <c:v>2025/7/3</c:v>
                </c:pt>
                <c:pt idx="3">
                  <c:v>2025/7/4</c:v>
                </c:pt>
                <c:pt idx="4">
                  <c:v>2025/7/5</c:v>
                </c:pt>
                <c:pt idx="5">
                  <c:v>2025/7/6</c:v>
                </c:pt>
                <c:pt idx="6">
                  <c:v>2025/7/7</c:v>
                </c:pt>
                <c:pt idx="7">
                  <c:v>2025/7/8</c:v>
                </c:pt>
                <c:pt idx="8">
                  <c:v>2025/7/9</c:v>
                </c:pt>
                <c:pt idx="9">
                  <c:v>2025/7/10</c:v>
                </c:pt>
                <c:pt idx="10">
                  <c:v>2025/7/11</c:v>
                </c:pt>
                <c:pt idx="11">
                  <c:v>2025/7/12</c:v>
                </c:pt>
                <c:pt idx="12">
                  <c:v>2025/7/13</c:v>
                </c:pt>
                <c:pt idx="13">
                  <c:v>2025/7/14</c:v>
                </c:pt>
                <c:pt idx="14">
                  <c:v>2025/7/15</c:v>
                </c:pt>
                <c:pt idx="15">
                  <c:v>2025/7/16</c:v>
                </c:pt>
                <c:pt idx="16">
                  <c:v>2025/7/17</c:v>
                </c:pt>
                <c:pt idx="17">
                  <c:v>2025/7/18</c:v>
                </c:pt>
                <c:pt idx="18">
                  <c:v>2025/7/19</c:v>
                </c:pt>
                <c:pt idx="19">
                  <c:v>2025/7/20</c:v>
                </c:pt>
                <c:pt idx="20">
                  <c:v>2025/7/21</c:v>
                </c:pt>
                <c:pt idx="21">
                  <c:v>2025/7/22</c:v>
                </c:pt>
                <c:pt idx="22">
                  <c:v>2025/7/23</c:v>
                </c:pt>
                <c:pt idx="23">
                  <c:v>2025/7/24</c:v>
                </c:pt>
                <c:pt idx="24">
                  <c:v>2025/7/25</c:v>
                </c:pt>
                <c:pt idx="25">
                  <c:v>2025/7/26</c:v>
                </c:pt>
                <c:pt idx="26">
                  <c:v>2025/7/27</c:v>
                </c:pt>
                <c:pt idx="27">
                  <c:v>2025/7/28</c:v>
                </c:pt>
                <c:pt idx="28">
                  <c:v>2025/7/29</c:v>
                </c:pt>
                <c:pt idx="29">
                  <c:v>2025/7/30</c:v>
                </c:pt>
                <c:pt idx="30">
                  <c:v>2025/7/31</c:v>
                </c:pt>
              </c:strCache>
            </c:strRef>
          </c:cat>
          <c:val>
            <c:numRef>
              <c:f>register!$H$4:$H$35</c:f>
              <c:numCache>
                <c:formatCode>General</c:formatCode>
                <c:ptCount val="31"/>
                <c:pt idx="0">
                  <c:v>70</c:v>
                </c:pt>
                <c:pt idx="1">
                  <c:v>68</c:v>
                </c:pt>
                <c:pt idx="2">
                  <c:v>67</c:v>
                </c:pt>
                <c:pt idx="3">
                  <c:v>67</c:v>
                </c:pt>
                <c:pt idx="4">
                  <c:v>79</c:v>
                </c:pt>
                <c:pt idx="5">
                  <c:v>78</c:v>
                </c:pt>
                <c:pt idx="6">
                  <c:v>92</c:v>
                </c:pt>
                <c:pt idx="7">
                  <c:v>85</c:v>
                </c:pt>
                <c:pt idx="8">
                  <c:v>94</c:v>
                </c:pt>
                <c:pt idx="9">
                  <c:v>95</c:v>
                </c:pt>
                <c:pt idx="10">
                  <c:v>92</c:v>
                </c:pt>
                <c:pt idx="11">
                  <c:v>84</c:v>
                </c:pt>
                <c:pt idx="12">
                  <c:v>84</c:v>
                </c:pt>
                <c:pt idx="13">
                  <c:v>84</c:v>
                </c:pt>
                <c:pt idx="14">
                  <c:v>77</c:v>
                </c:pt>
                <c:pt idx="15">
                  <c:v>86</c:v>
                </c:pt>
                <c:pt idx="16">
                  <c:v>85</c:v>
                </c:pt>
                <c:pt idx="17">
                  <c:v>81</c:v>
                </c:pt>
                <c:pt idx="18">
                  <c:v>83</c:v>
                </c:pt>
                <c:pt idx="19">
                  <c:v>84</c:v>
                </c:pt>
                <c:pt idx="20">
                  <c:v>88</c:v>
                </c:pt>
                <c:pt idx="21">
                  <c:v>75</c:v>
                </c:pt>
                <c:pt idx="22">
                  <c:v>75</c:v>
                </c:pt>
                <c:pt idx="23">
                  <c:v>91</c:v>
                </c:pt>
                <c:pt idx="24">
                  <c:v>93</c:v>
                </c:pt>
                <c:pt idx="25">
                  <c:v>89</c:v>
                </c:pt>
                <c:pt idx="26">
                  <c:v>89</c:v>
                </c:pt>
                <c:pt idx="27">
                  <c:v>90</c:v>
                </c:pt>
                <c:pt idx="28">
                  <c:v>87</c:v>
                </c:pt>
                <c:pt idx="29">
                  <c:v>81</c:v>
                </c:pt>
                <c:pt idx="30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64-4E17-896A-911F892D4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810287"/>
        <c:axId val="962812207"/>
      </c:lineChart>
      <c:catAx>
        <c:axId val="96281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812207"/>
        <c:crosses val="autoZero"/>
        <c:auto val="1"/>
        <c:lblAlgn val="ctr"/>
        <c:lblOffset val="100"/>
        <c:noMultiLvlLbl val="0"/>
      </c:catAx>
      <c:valAx>
        <c:axId val="96281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81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124884</xdr:colOff>
      <xdr:row>21</xdr:row>
      <xdr:rowOff>112712</xdr:rowOff>
    </xdr:from>
    <xdr:to>
      <xdr:col>9</xdr:col>
      <xdr:colOff>145521</xdr:colOff>
      <xdr:row>36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Year">
              <a:extLst>
                <a:ext uri="{FF2B5EF4-FFF2-40B4-BE49-F238E27FC236}">
                  <a16:creationId xmlns:a16="http://schemas.microsoft.com/office/drawing/2014/main" id="{CDC8D4FF-F5E1-F51A-4B7D-896CCA7998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709" y="4002087"/>
              <a:ext cx="1687512" cy="26654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141288</xdr:colOff>
      <xdr:row>1</xdr:row>
      <xdr:rowOff>135466</xdr:rowOff>
    </xdr:from>
    <xdr:to>
      <xdr:col>9</xdr:col>
      <xdr:colOff>69321</xdr:colOff>
      <xdr:row>19</xdr:row>
      <xdr:rowOff>168803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onth">
              <a:extLst>
                <a:ext uri="{FF2B5EF4-FFF2-40B4-BE49-F238E27FC236}">
                  <a16:creationId xmlns:a16="http://schemas.microsoft.com/office/drawing/2014/main" id="{2B04D314-5531-F248-D4A2-EE167567E4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463" y="320674"/>
              <a:ext cx="1588558" cy="33670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>
    <xdr:from>
      <xdr:col>14</xdr:col>
      <xdr:colOff>26455</xdr:colOff>
      <xdr:row>1</xdr:row>
      <xdr:rowOff>144285</xdr:rowOff>
    </xdr:from>
    <xdr:to>
      <xdr:col>47</xdr:col>
      <xdr:colOff>82550</xdr:colOff>
      <xdr:row>22</xdr:row>
      <xdr:rowOff>180799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7C66F631-9748-4F16-82B5-7BA9E9B1DB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49</xdr:col>
      <xdr:colOff>80609</xdr:colOff>
      <xdr:row>1</xdr:row>
      <xdr:rowOff>159986</xdr:rowOff>
    </xdr:from>
    <xdr:to>
      <xdr:col>81</xdr:col>
      <xdr:colOff>126646</xdr:colOff>
      <xdr:row>22</xdr:row>
      <xdr:rowOff>126648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285CFFA1-E2CC-428F-8189-65AF9C005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112713</xdr:colOff>
      <xdr:row>24</xdr:row>
      <xdr:rowOff>73024</xdr:rowOff>
    </xdr:from>
    <xdr:to>
      <xdr:col>48</xdr:col>
      <xdr:colOff>42863</xdr:colOff>
      <xdr:row>45</xdr:row>
      <xdr:rowOff>76200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692C5F1-7C16-4604-9BD3-C5DF104EA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304799</xdr:colOff>
      <xdr:row>0</xdr:row>
      <xdr:rowOff>58736</xdr:rowOff>
    </xdr:from>
    <xdr:to>
      <xdr:col>27</xdr:col>
      <xdr:colOff>527049</xdr:colOff>
      <xdr:row>16</xdr:row>
      <xdr:rowOff>95249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5C966B6-AF4D-41A0-386A-C6C8ACB9C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476250</xdr:colOff>
      <xdr:row>36</xdr:row>
      <xdr:rowOff>161925</xdr:rowOff>
    </xdr:from>
    <xdr:to>
      <xdr:col>27</xdr:col>
      <xdr:colOff>168275</xdr:colOff>
      <xdr:row>52</xdr:row>
      <xdr:rowOff>15875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2D5F928C-391D-41DC-8750-4A53D6C55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600075</xdr:colOff>
      <xdr:row>19</xdr:row>
      <xdr:rowOff>57150</xdr:rowOff>
    </xdr:from>
    <xdr:to>
      <xdr:col>27</xdr:col>
      <xdr:colOff>295275</xdr:colOff>
      <xdr:row>34</xdr:row>
      <xdr:rowOff>92075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314DCDE-A90C-406D-919C-6B5C974138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u, Flora" refreshedDate="45980.784516203705" createdVersion="8" refreshedVersion="8" minRefreshableVersion="3" recordCount="124" xr:uid="{282BA6C5-2ED2-4766-8851-BF2A8C62E752}">
  <cacheSource type="worksheet">
    <worksheetSource name="表格2"/>
  </cacheSource>
  <cacheFields count="9">
    <cacheField name="Year" numFmtId="0">
      <sharedItems containsMixedTypes="1" containsNumber="1" containsInteger="1" minValue="2025" maxValue="2025" count="2">
        <s v="Year"/>
        <n v="2025"/>
      </sharedItems>
    </cacheField>
    <cacheField name="Month" numFmtId="0">
      <sharedItems containsMixedTypes="1" containsNumber="1" containsInteger="1" minValue="7" maxValue="10" count="5">
        <s v="Month"/>
        <n v="7"/>
        <n v="8"/>
        <n v="9"/>
        <n v="10"/>
      </sharedItems>
    </cacheField>
    <cacheField name="觀測時間(day)" numFmtId="0">
      <sharedItems containsDate="1" containsMixedTypes="1" minDate="2025-07-01T00:00:00" maxDate="2025-11-01T00:00:00" count="124">
        <s v="ObsTime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</sharedItems>
    </cacheField>
    <cacheField name="氣溫(℃)" numFmtId="0">
      <sharedItems containsMixedTypes="1" containsNumber="1" minValue="21.2" maxValue="32.1"/>
    </cacheField>
    <cacheField name="相對溼度(%)" numFmtId="0">
      <sharedItems containsMixedTypes="1" containsNumber="1" containsInteger="1" minValue="63" maxValue="95"/>
    </cacheField>
    <cacheField name="風速(m/s)" numFmtId="0">
      <sharedItems containsBlank="1" containsMixedTypes="1" containsNumber="1" minValue="0.1" maxValue="3.9"/>
    </cacheField>
    <cacheField name="風向(360degree)" numFmtId="0">
      <sharedItems containsBlank="1" containsMixedTypes="1" containsNumber="1" containsInteger="1" minValue="0" maxValue="357"/>
    </cacheField>
    <cacheField name="最大瞬間風(m/s)" numFmtId="0">
      <sharedItems containsBlank="1" containsMixedTypes="1" containsNumber="1" minValue="3.5" maxValue="25.3"/>
    </cacheField>
    <cacheField name="降水量(mm)" numFmtId="0">
      <sharedItems containsBlank="1" containsMixedTypes="1" containsNumber="1" minValue="0.5" maxValue="209"/>
    </cacheField>
  </cacheFields>
  <extLst>
    <ext xmlns:x14="http://schemas.microsoft.com/office/spreadsheetml/2009/9/main" uri="{725AE2AE-9491-48be-B2B4-4EB974FC3084}">
      <x14:pivotCacheDefinition pivotCacheId="8939292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x v="0"/>
    <x v="0"/>
    <x v="0"/>
    <s v="Temperature"/>
    <s v="RH"/>
    <s v="WS"/>
    <s v="WD"/>
    <s v="WSGust"/>
    <s v="Precp"/>
  </r>
  <r>
    <x v="1"/>
    <x v="1"/>
    <x v="1"/>
    <n v="31.7"/>
    <n v="70"/>
    <n v="2"/>
    <n v="135"/>
    <n v="9.9"/>
    <m/>
  </r>
  <r>
    <x v="1"/>
    <x v="1"/>
    <x v="2"/>
    <n v="31.8"/>
    <n v="68"/>
    <n v="1.7"/>
    <n v="214"/>
    <n v="10.4"/>
    <m/>
  </r>
  <r>
    <x v="1"/>
    <x v="1"/>
    <x v="3"/>
    <n v="32"/>
    <n v="67"/>
    <n v="1.6"/>
    <n v="144"/>
    <s v="/"/>
    <m/>
  </r>
  <r>
    <x v="1"/>
    <x v="1"/>
    <x v="4"/>
    <n v="32.1"/>
    <n v="67"/>
    <n v="1.6"/>
    <n v="140"/>
    <n v="8.8000000000000007"/>
    <m/>
  </r>
  <r>
    <x v="1"/>
    <x v="1"/>
    <x v="5"/>
    <n v="30.2"/>
    <n v="79"/>
    <n v="0.6"/>
    <n v="200"/>
    <n v="5.5"/>
    <m/>
  </r>
  <r>
    <x v="1"/>
    <x v="1"/>
    <x v="6"/>
    <n v="28.7"/>
    <n v="78"/>
    <n v="1.9"/>
    <n v="134"/>
    <n v="13.2"/>
    <n v="1"/>
  </r>
  <r>
    <x v="1"/>
    <x v="1"/>
    <x v="7"/>
    <n v="27.3"/>
    <n v="92"/>
    <n v="0.8"/>
    <n v="158"/>
    <n v="12.6"/>
    <n v="10"/>
  </r>
  <r>
    <x v="1"/>
    <x v="1"/>
    <x v="8"/>
    <n v="29.4"/>
    <n v="85"/>
    <n v="0.9"/>
    <n v="171"/>
    <n v="6"/>
    <n v="1.5"/>
  </r>
  <r>
    <x v="1"/>
    <x v="1"/>
    <x v="9"/>
    <n v="25.5"/>
    <n v="94"/>
    <n v="0.8"/>
    <n v="175"/>
    <n v="6.6"/>
    <n v="11.5"/>
  </r>
  <r>
    <x v="1"/>
    <x v="1"/>
    <x v="10"/>
    <n v="25.9"/>
    <n v="95"/>
    <n v="0.3"/>
    <n v="198"/>
    <n v="6"/>
    <n v="4.5"/>
  </r>
  <r>
    <x v="1"/>
    <x v="1"/>
    <x v="11"/>
    <n v="27.6"/>
    <n v="92"/>
    <n v="0.3"/>
    <n v="182"/>
    <n v="3.5"/>
    <n v="0.5"/>
  </r>
  <r>
    <x v="1"/>
    <x v="1"/>
    <x v="12"/>
    <n v="29.2"/>
    <n v="84"/>
    <n v="0.9"/>
    <n v="22"/>
    <n v="5.5"/>
    <n v="32"/>
  </r>
  <r>
    <x v="1"/>
    <x v="1"/>
    <x v="13"/>
    <n v="30.6"/>
    <n v="84"/>
    <n v="0.4"/>
    <n v="45"/>
    <n v="6.6"/>
    <m/>
  </r>
  <r>
    <x v="1"/>
    <x v="1"/>
    <x v="14"/>
    <n v="30.1"/>
    <n v="84"/>
    <n v="1.5"/>
    <n v="26"/>
    <n v="7.1"/>
    <m/>
  </r>
  <r>
    <x v="1"/>
    <x v="1"/>
    <x v="15"/>
    <n v="31.9"/>
    <n v="77"/>
    <n v="0.9"/>
    <n v="24"/>
    <n v="8.8000000000000007"/>
    <m/>
  </r>
  <r>
    <x v="1"/>
    <x v="1"/>
    <x v="16"/>
    <n v="30.2"/>
    <n v="86"/>
    <n v="0.9"/>
    <n v="181"/>
    <n v="7.7"/>
    <n v="5.5"/>
  </r>
  <r>
    <x v="1"/>
    <x v="1"/>
    <x v="17"/>
    <n v="30.5"/>
    <n v="85"/>
    <n v="0.5"/>
    <n v="177"/>
    <n v="5.5"/>
    <m/>
  </r>
  <r>
    <x v="1"/>
    <x v="1"/>
    <x v="18"/>
    <n v="29.9"/>
    <n v="81"/>
    <n v="2.4"/>
    <n v="157"/>
    <n v="15.4"/>
    <n v="4"/>
  </r>
  <r>
    <x v="1"/>
    <x v="1"/>
    <x v="19"/>
    <n v="29.6"/>
    <n v="83"/>
    <n v="3.9"/>
    <n v="155"/>
    <n v="22"/>
    <n v="74"/>
  </r>
  <r>
    <x v="1"/>
    <x v="1"/>
    <x v="20"/>
    <n v="29.3"/>
    <n v="84"/>
    <n v="1.7"/>
    <n v="156"/>
    <n v="12.1"/>
    <n v="2"/>
  </r>
  <r>
    <x v="1"/>
    <x v="1"/>
    <x v="21"/>
    <n v="28.2"/>
    <n v="88"/>
    <n v="1"/>
    <n v="146"/>
    <n v="11"/>
    <n v="18"/>
  </r>
  <r>
    <x v="1"/>
    <x v="1"/>
    <x v="22"/>
    <n v="30.2"/>
    <n v="75"/>
    <n v="2.2999999999999998"/>
    <n v="163"/>
    <n v="11"/>
    <m/>
  </r>
  <r>
    <x v="1"/>
    <x v="1"/>
    <x v="23"/>
    <n v="30.7"/>
    <n v="75"/>
    <n v="1.5"/>
    <n v="150"/>
    <n v="9.3000000000000007"/>
    <n v="8"/>
  </r>
  <r>
    <x v="1"/>
    <x v="1"/>
    <x v="24"/>
    <n v="28.2"/>
    <n v="91"/>
    <n v="0.5"/>
    <n v="349"/>
    <n v="8.1999999999999993"/>
    <n v="15"/>
  </r>
  <r>
    <x v="1"/>
    <x v="1"/>
    <x v="25"/>
    <n v="27.7"/>
    <n v="93"/>
    <n v="0.3"/>
    <n v="35"/>
    <n v="6"/>
    <n v="44.5"/>
  </r>
  <r>
    <x v="1"/>
    <x v="1"/>
    <x v="26"/>
    <n v="29.9"/>
    <n v="89"/>
    <n v="0.1"/>
    <n v="0"/>
    <n v="4.9000000000000004"/>
    <n v="3"/>
  </r>
  <r>
    <x v="1"/>
    <x v="1"/>
    <x v="27"/>
    <n v="29.7"/>
    <n v="89"/>
    <n v="0.4"/>
    <n v="28"/>
    <n v="5.5"/>
    <n v="2"/>
  </r>
  <r>
    <x v="1"/>
    <x v="1"/>
    <x v="28"/>
    <n v="29.1"/>
    <n v="90"/>
    <n v="1"/>
    <n v="24"/>
    <n v="8.1999999999999993"/>
    <n v="5.5"/>
  </r>
  <r>
    <x v="1"/>
    <x v="1"/>
    <x v="29"/>
    <n v="28.9"/>
    <n v="87"/>
    <n v="0.9"/>
    <n v="20"/>
    <n v="9.3000000000000007"/>
    <n v="31"/>
  </r>
  <r>
    <x v="1"/>
    <x v="1"/>
    <x v="30"/>
    <n v="31"/>
    <n v="81"/>
    <n v="0.7"/>
    <n v="316"/>
    <n v="8.1999999999999993"/>
    <m/>
  </r>
  <r>
    <x v="1"/>
    <x v="1"/>
    <x v="31"/>
    <n v="31"/>
    <n v="80"/>
    <n v="0.9"/>
    <n v="175"/>
    <n v="8.1999999999999993"/>
    <m/>
  </r>
  <r>
    <x v="1"/>
    <x v="2"/>
    <x v="32"/>
    <n v="29.8"/>
    <n v="86"/>
    <n v="0.5"/>
    <n v="180"/>
    <n v="4.0999999999999996"/>
    <n v="4"/>
  </r>
  <r>
    <x v="1"/>
    <x v="2"/>
    <x v="33"/>
    <n v="29.5"/>
    <n v="87"/>
    <n v="0.4"/>
    <n v="202"/>
    <n v="7.7"/>
    <n v="17.5"/>
  </r>
  <r>
    <x v="1"/>
    <x v="2"/>
    <x v="34"/>
    <n v="29.2"/>
    <n v="89"/>
    <n v="1.1000000000000001"/>
    <n v="176"/>
    <n v="7.1"/>
    <n v="2"/>
  </r>
  <r>
    <x v="1"/>
    <x v="2"/>
    <x v="35"/>
    <n v="29.7"/>
    <n v="89"/>
    <n v="0.2"/>
    <n v="0"/>
    <n v="4.9000000000000004"/>
    <m/>
  </r>
  <r>
    <x v="1"/>
    <x v="2"/>
    <x v="36"/>
    <n v="28.5"/>
    <n v="89"/>
    <n v="0.5"/>
    <n v="197"/>
    <n v="7.7"/>
    <n v="87.5"/>
  </r>
  <r>
    <x v="1"/>
    <x v="2"/>
    <x v="37"/>
    <n v="29.4"/>
    <n v="89"/>
    <n v="0.3"/>
    <n v="355"/>
    <s v="/"/>
    <n v="0.5"/>
  </r>
  <r>
    <x v="1"/>
    <x v="2"/>
    <x v="38"/>
    <n v="30.5"/>
    <n v="81"/>
    <n v="0.5"/>
    <n v="357"/>
    <n v="6"/>
    <m/>
  </r>
  <r>
    <x v="1"/>
    <x v="2"/>
    <x v="39"/>
    <n v="30"/>
    <n v="85"/>
    <n v="0.7"/>
    <n v="12"/>
    <n v="6"/>
    <m/>
  </r>
  <r>
    <x v="1"/>
    <x v="2"/>
    <x v="40"/>
    <n v="30.1"/>
    <n v="87"/>
    <n v="0.5"/>
    <n v="39"/>
    <s v="/"/>
    <n v="1"/>
  </r>
  <r>
    <x v="1"/>
    <x v="2"/>
    <x v="41"/>
    <n v="29.9"/>
    <n v="87"/>
    <n v="0.4"/>
    <n v="355"/>
    <n v="6"/>
    <n v="14"/>
  </r>
  <r>
    <x v="1"/>
    <x v="2"/>
    <x v="42"/>
    <n v="29.4"/>
    <n v="88"/>
    <n v="0.4"/>
    <n v="14"/>
    <n v="5.5"/>
    <n v="12"/>
  </r>
  <r>
    <x v="1"/>
    <x v="2"/>
    <x v="43"/>
    <n v="30.5"/>
    <n v="82"/>
    <n v="0.8"/>
    <n v="181"/>
    <n v="5.5"/>
    <m/>
  </r>
  <r>
    <x v="1"/>
    <x v="2"/>
    <x v="44"/>
    <n v="29.6"/>
    <n v="81"/>
    <n v="3.5"/>
    <n v="154"/>
    <n v="25.3"/>
    <n v="18.5"/>
  </r>
  <r>
    <x v="1"/>
    <x v="2"/>
    <x v="45"/>
    <n v="30.3"/>
    <n v="73"/>
    <n v="2"/>
    <n v="156"/>
    <s v="/"/>
    <m/>
  </r>
  <r>
    <x v="1"/>
    <x v="2"/>
    <x v="46"/>
    <n v="31.2"/>
    <n v="66"/>
    <n v="2.7"/>
    <n v="150"/>
    <n v="13.7"/>
    <m/>
  </r>
  <r>
    <x v="1"/>
    <x v="2"/>
    <x v="47"/>
    <n v="30.8"/>
    <n v="69"/>
    <n v="2"/>
    <n v="163"/>
    <s v="/"/>
    <m/>
  </r>
  <r>
    <x v="1"/>
    <x v="2"/>
    <x v="48"/>
    <n v="31.5"/>
    <n v="66"/>
    <n v="1.7"/>
    <n v="161"/>
    <n v="11"/>
    <m/>
  </r>
  <r>
    <x v="1"/>
    <x v="2"/>
    <x v="49"/>
    <n v="29.6"/>
    <n v="82"/>
    <n v="1"/>
    <n v="30"/>
    <n v="6.6"/>
    <n v="10"/>
  </r>
  <r>
    <x v="1"/>
    <x v="2"/>
    <x v="50"/>
    <n v="29.6"/>
    <n v="83"/>
    <n v="0.7"/>
    <n v="173"/>
    <n v="7.1"/>
    <m/>
  </r>
  <r>
    <x v="1"/>
    <x v="2"/>
    <x v="51"/>
    <n v="28.1"/>
    <n v="86"/>
    <n v="0.8"/>
    <n v="340"/>
    <n v="8.1999999999999993"/>
    <n v="1.5"/>
  </r>
  <r>
    <x v="1"/>
    <x v="2"/>
    <x v="52"/>
    <n v="29.6"/>
    <n v="75"/>
    <n v="1.1000000000000001"/>
    <n v="175"/>
    <n v="6"/>
    <m/>
  </r>
  <r>
    <x v="1"/>
    <x v="2"/>
    <x v="53"/>
    <n v="30.8"/>
    <n v="74"/>
    <n v="1"/>
    <n v="307"/>
    <n v="6.6"/>
    <m/>
  </r>
  <r>
    <x v="1"/>
    <x v="2"/>
    <x v="54"/>
    <n v="31.6"/>
    <n v="76"/>
    <n v="0.9"/>
    <n v="195"/>
    <n v="5.5"/>
    <m/>
  </r>
  <r>
    <x v="1"/>
    <x v="2"/>
    <x v="55"/>
    <n v="31.2"/>
    <n v="73"/>
    <n v="1.5"/>
    <n v="135"/>
    <n v="11.5"/>
    <m/>
  </r>
  <r>
    <x v="1"/>
    <x v="2"/>
    <x v="56"/>
    <n v="31"/>
    <n v="70"/>
    <n v="1.8"/>
    <n v="144"/>
    <n v="10.4"/>
    <m/>
  </r>
  <r>
    <x v="1"/>
    <x v="2"/>
    <x v="57"/>
    <n v="30.7"/>
    <n v="69"/>
    <n v="1.7"/>
    <n v="142"/>
    <n v="11.5"/>
    <m/>
  </r>
  <r>
    <x v="1"/>
    <x v="2"/>
    <x v="58"/>
    <n v="30.7"/>
    <n v="66"/>
    <n v="1.9"/>
    <n v="155"/>
    <n v="12.1"/>
    <m/>
  </r>
  <r>
    <x v="1"/>
    <x v="2"/>
    <x v="59"/>
    <n v="31.5"/>
    <n v="63"/>
    <n v="2.5"/>
    <n v="134"/>
    <n v="13.2"/>
    <m/>
  </r>
  <r>
    <x v="1"/>
    <x v="2"/>
    <x v="60"/>
    <n v="31.7"/>
    <n v="63"/>
    <n v="2.2000000000000002"/>
    <n v="140"/>
    <n v="11"/>
    <m/>
  </r>
  <r>
    <x v="1"/>
    <x v="2"/>
    <x v="61"/>
    <n v="30.9"/>
    <n v="73"/>
    <n v="0.9"/>
    <n v="195"/>
    <n v="7.7"/>
    <m/>
  </r>
  <r>
    <x v="1"/>
    <x v="2"/>
    <x v="62"/>
    <n v="29.1"/>
    <n v="82"/>
    <n v="0.7"/>
    <n v="52"/>
    <n v="7.1"/>
    <m/>
  </r>
  <r>
    <x v="1"/>
    <x v="3"/>
    <x v="63"/>
    <n v="28.9"/>
    <n v="85"/>
    <m/>
    <m/>
    <n v="4.9000000000000004"/>
    <n v="1"/>
  </r>
  <r>
    <x v="1"/>
    <x v="3"/>
    <x v="64"/>
    <n v="29.6"/>
    <n v="82"/>
    <m/>
    <m/>
    <n v="6.6"/>
    <m/>
  </r>
  <r>
    <x v="1"/>
    <x v="3"/>
    <x v="65"/>
    <n v="29.1"/>
    <n v="84"/>
    <m/>
    <m/>
    <n v="7.1"/>
    <n v="7"/>
  </r>
  <r>
    <x v="1"/>
    <x v="3"/>
    <x v="66"/>
    <n v="28.6"/>
    <n v="86"/>
    <m/>
    <m/>
    <n v="9.9"/>
    <n v="34.5"/>
  </r>
  <r>
    <x v="1"/>
    <x v="3"/>
    <x v="67"/>
    <n v="30.3"/>
    <n v="74"/>
    <m/>
    <m/>
    <n v="8.8000000000000007"/>
    <m/>
  </r>
  <r>
    <x v="1"/>
    <x v="3"/>
    <x v="68"/>
    <n v="31.5"/>
    <n v="71"/>
    <m/>
    <m/>
    <n v="12.1"/>
    <m/>
  </r>
  <r>
    <x v="1"/>
    <x v="3"/>
    <x v="69"/>
    <n v="29.6"/>
    <n v="87"/>
    <m/>
    <m/>
    <n v="6.6"/>
    <n v="20.5"/>
  </r>
  <r>
    <x v="1"/>
    <x v="3"/>
    <x v="70"/>
    <n v="29.6"/>
    <n v="84"/>
    <m/>
    <m/>
    <n v="6.6"/>
    <m/>
  </r>
  <r>
    <x v="1"/>
    <x v="3"/>
    <x v="71"/>
    <n v="30.3"/>
    <n v="81"/>
    <m/>
    <m/>
    <n v="7.1"/>
    <n v="0.5"/>
  </r>
  <r>
    <x v="1"/>
    <x v="3"/>
    <x v="72"/>
    <n v="29.7"/>
    <n v="84"/>
    <m/>
    <m/>
    <n v="6"/>
    <m/>
  </r>
  <r>
    <x v="1"/>
    <x v="3"/>
    <x v="73"/>
    <n v="30.6"/>
    <n v="75"/>
    <m/>
    <m/>
    <n v="8.1999999999999993"/>
    <m/>
  </r>
  <r>
    <x v="1"/>
    <x v="3"/>
    <x v="74"/>
    <n v="29.4"/>
    <n v="85"/>
    <m/>
    <m/>
    <n v="6"/>
    <n v="2.5"/>
  </r>
  <r>
    <x v="1"/>
    <x v="3"/>
    <x v="75"/>
    <n v="30.1"/>
    <n v="78"/>
    <m/>
    <m/>
    <n v="6"/>
    <m/>
  </r>
  <r>
    <x v="1"/>
    <x v="3"/>
    <x v="76"/>
    <n v="29.7"/>
    <n v="82"/>
    <m/>
    <m/>
    <n v="6.6"/>
    <m/>
  </r>
  <r>
    <x v="1"/>
    <x v="3"/>
    <x v="77"/>
    <n v="30.6"/>
    <n v="75"/>
    <m/>
    <m/>
    <n v="10.4"/>
    <m/>
  </r>
  <r>
    <x v="1"/>
    <x v="3"/>
    <x v="78"/>
    <n v="30.9"/>
    <n v="69"/>
    <m/>
    <m/>
    <n v="12.1"/>
    <m/>
  </r>
  <r>
    <x v="1"/>
    <x v="3"/>
    <x v="79"/>
    <n v="31.3"/>
    <n v="68"/>
    <m/>
    <m/>
    <n v="12.1"/>
    <m/>
  </r>
  <r>
    <x v="1"/>
    <x v="3"/>
    <x v="80"/>
    <n v="30.5"/>
    <n v="69"/>
    <m/>
    <m/>
    <n v="13.7"/>
    <m/>
  </r>
  <r>
    <x v="1"/>
    <x v="3"/>
    <x v="81"/>
    <n v="30.8"/>
    <n v="71"/>
    <m/>
    <m/>
    <n v="12.6"/>
    <m/>
  </r>
  <r>
    <x v="1"/>
    <x v="3"/>
    <x v="82"/>
    <n v="30.1"/>
    <n v="79"/>
    <m/>
    <m/>
    <s v="/"/>
    <m/>
  </r>
  <r>
    <x v="1"/>
    <x v="3"/>
    <x v="83"/>
    <n v="29.1"/>
    <n v="84"/>
    <m/>
    <m/>
    <n v="9.3000000000000007"/>
    <n v="7.5"/>
  </r>
  <r>
    <x v="1"/>
    <x v="3"/>
    <x v="84"/>
    <n v="28.6"/>
    <n v="88"/>
    <m/>
    <m/>
    <n v="19.8"/>
    <n v="71"/>
  </r>
  <r>
    <x v="1"/>
    <x v="3"/>
    <x v="85"/>
    <n v="29.9"/>
    <n v="80"/>
    <m/>
    <m/>
    <n v="20.399999999999999"/>
    <n v="31"/>
  </r>
  <r>
    <x v="1"/>
    <x v="3"/>
    <x v="86"/>
    <n v="31.7"/>
    <n v="66"/>
    <m/>
    <m/>
    <n v="16.5"/>
    <n v="39.5"/>
  </r>
  <r>
    <x v="1"/>
    <x v="3"/>
    <x v="87"/>
    <n v="30.2"/>
    <n v="69"/>
    <m/>
    <m/>
    <n v="12.6"/>
    <s v="X"/>
  </r>
  <r>
    <x v="1"/>
    <x v="3"/>
    <x v="88"/>
    <n v="30.7"/>
    <n v="69"/>
    <m/>
    <m/>
    <n v="12.6"/>
    <m/>
  </r>
  <r>
    <x v="1"/>
    <x v="3"/>
    <x v="89"/>
    <n v="31.1"/>
    <n v="70"/>
    <m/>
    <m/>
    <n v="11.5"/>
    <m/>
  </r>
  <r>
    <x v="1"/>
    <x v="3"/>
    <x v="90"/>
    <n v="30.4"/>
    <n v="77"/>
    <m/>
    <m/>
    <n v="6"/>
    <m/>
  </r>
  <r>
    <x v="1"/>
    <x v="3"/>
    <x v="91"/>
    <n v="29.6"/>
    <n v="84"/>
    <m/>
    <m/>
    <n v="6"/>
    <m/>
  </r>
  <r>
    <x v="1"/>
    <x v="3"/>
    <x v="92"/>
    <n v="30"/>
    <n v="78"/>
    <m/>
    <m/>
    <n v="5.5"/>
    <m/>
  </r>
  <r>
    <x v="1"/>
    <x v="4"/>
    <x v="93"/>
    <n v="30.7"/>
    <n v="72"/>
    <n v="1.5"/>
    <n v="184"/>
    <m/>
    <m/>
  </r>
  <r>
    <x v="1"/>
    <x v="4"/>
    <x v="94"/>
    <n v="29.8"/>
    <n v="71"/>
    <n v="1.5"/>
    <n v="138"/>
    <m/>
    <m/>
  </r>
  <r>
    <x v="1"/>
    <x v="4"/>
    <x v="95"/>
    <n v="30.1"/>
    <n v="73"/>
    <n v="1"/>
    <n v="194"/>
    <m/>
    <m/>
  </r>
  <r>
    <x v="1"/>
    <x v="4"/>
    <x v="96"/>
    <n v="30.5"/>
    <n v="78"/>
    <n v="0.7"/>
    <n v="187"/>
    <m/>
    <m/>
  </r>
  <r>
    <x v="1"/>
    <x v="4"/>
    <x v="97"/>
    <n v="30.6"/>
    <n v="77"/>
    <n v="0.8"/>
    <n v="171"/>
    <m/>
    <m/>
  </r>
  <r>
    <x v="1"/>
    <x v="4"/>
    <x v="98"/>
    <n v="30.2"/>
    <n v="74"/>
    <n v="1.2"/>
    <n v="154"/>
    <m/>
    <m/>
  </r>
  <r>
    <x v="1"/>
    <x v="4"/>
    <x v="99"/>
    <n v="30.5"/>
    <n v="69"/>
    <n v="1.5"/>
    <n v="189"/>
    <m/>
    <m/>
  </r>
  <r>
    <x v="1"/>
    <x v="4"/>
    <x v="100"/>
    <n v="28.6"/>
    <n v="83"/>
    <n v="1.1000000000000001"/>
    <n v="20"/>
    <m/>
    <m/>
  </r>
  <r>
    <x v="1"/>
    <x v="4"/>
    <x v="101"/>
    <n v="29.3"/>
    <n v="75"/>
    <n v="1.6"/>
    <n v="26"/>
    <m/>
    <m/>
  </r>
  <r>
    <x v="1"/>
    <x v="4"/>
    <x v="102"/>
    <n v="29.9"/>
    <n v="74"/>
    <n v="1.1000000000000001"/>
    <n v="177"/>
    <m/>
    <m/>
  </r>
  <r>
    <x v="1"/>
    <x v="4"/>
    <x v="103"/>
    <n v="30.2"/>
    <n v="71"/>
    <n v="1.3"/>
    <n v="150"/>
    <m/>
    <m/>
  </r>
  <r>
    <x v="1"/>
    <x v="4"/>
    <x v="104"/>
    <n v="29.5"/>
    <n v="74"/>
    <n v="0.8"/>
    <n v="185"/>
    <m/>
    <m/>
  </r>
  <r>
    <x v="1"/>
    <x v="4"/>
    <x v="105"/>
    <n v="29.9"/>
    <n v="79"/>
    <n v="0.8"/>
    <n v="194"/>
    <m/>
    <m/>
  </r>
  <r>
    <x v="1"/>
    <x v="4"/>
    <x v="106"/>
    <n v="30.8"/>
    <n v="71"/>
    <n v="1.6"/>
    <n v="171"/>
    <m/>
    <m/>
  </r>
  <r>
    <x v="1"/>
    <x v="4"/>
    <x v="107"/>
    <n v="30.1"/>
    <n v="68"/>
    <n v="2.2999999999999998"/>
    <n v="141"/>
    <m/>
    <m/>
  </r>
  <r>
    <x v="1"/>
    <x v="4"/>
    <x v="108"/>
    <n v="30.3"/>
    <n v="67"/>
    <n v="1.6"/>
    <n v="124"/>
    <m/>
    <m/>
  </r>
  <r>
    <x v="1"/>
    <x v="4"/>
    <x v="109"/>
    <n v="30.7"/>
    <n v="68"/>
    <n v="2.1"/>
    <n v="106"/>
    <m/>
    <m/>
  </r>
  <r>
    <x v="1"/>
    <x v="4"/>
    <x v="110"/>
    <n v="30.8"/>
    <n v="67"/>
    <n v="2"/>
    <n v="170"/>
    <m/>
    <m/>
  </r>
  <r>
    <x v="1"/>
    <x v="4"/>
    <x v="111"/>
    <n v="27.3"/>
    <n v="85"/>
    <n v="0.9"/>
    <n v="165"/>
    <m/>
    <n v="65.5"/>
  </r>
  <r>
    <x v="1"/>
    <x v="4"/>
    <x v="112"/>
    <n v="24"/>
    <n v="94"/>
    <n v="1.7"/>
    <n v="343"/>
    <m/>
    <n v="209"/>
  </r>
  <r>
    <x v="1"/>
    <x v="4"/>
    <x v="113"/>
    <n v="22"/>
    <n v="93"/>
    <n v="0.9"/>
    <n v="326"/>
    <m/>
    <n v="131"/>
  </r>
  <r>
    <x v="1"/>
    <x v="4"/>
    <x v="114"/>
    <n v="22.3"/>
    <n v="93"/>
    <n v="1.5"/>
    <n v="332"/>
    <m/>
    <n v="165.5"/>
  </r>
  <r>
    <x v="1"/>
    <x v="4"/>
    <x v="115"/>
    <n v="22.3"/>
    <n v="93"/>
    <n v="0.2"/>
    <n v="0"/>
    <m/>
    <n v="56.5"/>
  </r>
  <r>
    <x v="1"/>
    <x v="4"/>
    <x v="116"/>
    <n v="22"/>
    <n v="93"/>
    <n v="0.1"/>
    <n v="0"/>
    <m/>
    <n v="99.5"/>
  </r>
  <r>
    <x v="1"/>
    <x v="4"/>
    <x v="117"/>
    <n v="23"/>
    <n v="94"/>
    <n v="0.1"/>
    <n v="0"/>
    <m/>
    <n v="31.5"/>
  </r>
  <r>
    <x v="1"/>
    <x v="4"/>
    <x v="118"/>
    <n v="22.2"/>
    <n v="94"/>
    <n v="0.1"/>
    <n v="0"/>
    <m/>
    <n v="11.5"/>
  </r>
  <r>
    <x v="1"/>
    <x v="4"/>
    <x v="119"/>
    <n v="21.2"/>
    <n v="92"/>
    <n v="0.3"/>
    <n v="195"/>
    <m/>
    <n v="16"/>
  </r>
  <r>
    <x v="1"/>
    <x v="4"/>
    <x v="120"/>
    <n v="21.3"/>
    <n v="93"/>
    <n v="0.2"/>
    <n v="0"/>
    <m/>
    <n v="48"/>
  </r>
  <r>
    <x v="1"/>
    <x v="4"/>
    <x v="121"/>
    <n v="22.7"/>
    <n v="88"/>
    <n v="1.5"/>
    <n v="202"/>
    <m/>
    <n v="1"/>
  </r>
  <r>
    <x v="1"/>
    <x v="4"/>
    <x v="122"/>
    <n v="26.7"/>
    <n v="85"/>
    <n v="1.1000000000000001"/>
    <n v="198"/>
    <m/>
    <m/>
  </r>
  <r>
    <x v="1"/>
    <x v="4"/>
    <x v="123"/>
    <n v="22.7"/>
    <n v="95"/>
    <n v="0.4"/>
    <n v="333"/>
    <m/>
    <n v="1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219E9-E1B8-4D06-A0C6-FE09501BF7F8}" name="樞紐分析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7">
  <location ref="J3:K6" firstHeaderRow="1" firstDataRow="1" firstDataCol="1"/>
  <pivotFields count="9">
    <pivotField axis="axisRow" showAll="0">
      <items count="3">
        <item x="1"/>
        <item x="0"/>
        <item t="default"/>
      </items>
    </pivotField>
    <pivotField axis="axisRow" showAll="0">
      <items count="6">
        <item x="1"/>
        <item h="1" x="2"/>
        <item h="1" x="3"/>
        <item h="1"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1"/>
    <field x="0"/>
  </rowFields>
  <rowItems count="3">
    <i>
      <x/>
    </i>
    <i r="1">
      <x/>
    </i>
    <i t="grand">
      <x/>
    </i>
  </rowItems>
  <colItems count="1">
    <i/>
  </colItems>
  <dataFields count="1">
    <dataField name="計數 - 降水量(mm)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DAF85E-FF02-4332-8E66-9689AB6FE4CE}" name="樞紐分析表3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>
  <location ref="A3:B35" firstHeaderRow="1" firstDataRow="1" firstDataCol="1"/>
  <pivotFields count="9">
    <pivotField showAll="0">
      <items count="3">
        <item x="1"/>
        <item x="0"/>
        <item t="default"/>
      </items>
    </pivotField>
    <pivotField showAll="0">
      <items count="6">
        <item x="1"/>
        <item h="1" x="2"/>
        <item h="1" x="3"/>
        <item h="1" x="4"/>
        <item h="1" x="0"/>
        <item t="default"/>
      </items>
    </pivotField>
    <pivotField axis="axisRow"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3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平均值 - 氣溫(℃)" fld="3" subtotal="average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33D0C-425C-431C-BF74-493347993DFB}" name="樞紐分析表5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7">
  <location ref="D3:E35" firstHeaderRow="1" firstDataRow="1" firstDataCol="1"/>
  <pivotFields count="9">
    <pivotField showAll="0">
      <items count="3">
        <item x="1"/>
        <item x="0"/>
        <item t="default"/>
      </items>
    </pivotField>
    <pivotField showAll="0">
      <items count="6">
        <item x="1"/>
        <item h="1" x="2"/>
        <item h="1" x="3"/>
        <item h="1" x="4"/>
        <item h="1" x="0"/>
        <item t="default"/>
      </items>
    </pivotField>
    <pivotField axis="axisRow"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平均值 - 降水量(mm)" fld="8" subtotal="average" baseField="2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A2DC2-CBE5-41E5-B5AC-1BCD23C1E43B}" name="樞紐分析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6">
  <location ref="G3:H35" firstHeaderRow="1" firstDataRow="1" firstDataCol="1"/>
  <pivotFields count="9">
    <pivotField showAll="0">
      <items count="3">
        <item x="1"/>
        <item x="0"/>
        <item t="default"/>
      </items>
    </pivotField>
    <pivotField showAll="0">
      <items count="6">
        <item x="1"/>
        <item h="1" x="2"/>
        <item h="1" x="3"/>
        <item h="1" x="4"/>
        <item h="1" x="0"/>
        <item t="default"/>
      </items>
    </pivotField>
    <pivotField axis="axisRow"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3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平均值 - 相對溼度(%)" fld="4" subtotal="average" baseField="2" baseItem="0"/>
  </dataFields>
  <chartFormats count="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153C0D3A-41D8-426B-A82E-316674203155}" sourceName="Year">
  <pivotTables>
    <pivotTable tabId="15" name="樞紐分析表3"/>
    <pivotTable tabId="15" name="樞紐分析表5"/>
    <pivotTable tabId="15" name="樞紐分析表1"/>
    <pivotTable tabId="15" name="樞紐分析表2"/>
  </pivotTables>
  <data>
    <tabular pivotCacheId="893929236">
      <items count="2">
        <i x="1" s="1"/>
        <i x="0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61813EAD-39BB-4C21-9F03-1F9ABDAED6F2}" sourceName="Month">
  <pivotTables>
    <pivotTable tabId="15" name="樞紐分析表3"/>
    <pivotTable tabId="15" name="樞紐分析表5"/>
    <pivotTable tabId="15" name="樞紐分析表1"/>
    <pivotTable tabId="15" name="樞紐分析表2"/>
  </pivotTables>
  <data>
    <tabular pivotCacheId="893929236">
      <items count="5">
        <i x="1" s="1"/>
        <i x="2"/>
        <i x="3"/>
        <i x="4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11807AE3-9755-47E1-BCFA-88A7A82D69AA}" cache="Slicer_Year" caption="Year" rowHeight="241300"/>
  <slicer name="Month" xr10:uid="{7A53C9FB-A9E3-4882-8829-30C98A2F353B}" cache="Slicer_Month" caption="Month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234B90-BBEC-4E25-ABFC-1DCC1779221B}" name="表格2" displayName="表格2" ref="A1:I125" totalsRowShown="0" dataDxfId="6">
  <autoFilter ref="A1:I125" xr:uid="{BE234B90-BBEC-4E25-ABFC-1DCC1779221B}"/>
  <tableColumns count="9">
    <tableColumn id="1" xr3:uid="{ED9C611B-6D50-4604-B92E-57FE566DB74B}" name="Year">
      <calculatedColumnFormula>YEAR(C2)</calculatedColumnFormula>
    </tableColumn>
    <tableColumn id="2" xr3:uid="{289C79D3-5177-493E-BA06-ECB6CAA25DED}" name="Month">
      <calculatedColumnFormula>MONTH(C2)</calculatedColumnFormula>
    </tableColumn>
    <tableColumn id="3" xr3:uid="{B2033F8A-85D0-45C1-8250-E7E6187B77EE}" name="觀測時間(day)" dataDxfId="5"/>
    <tableColumn id="4" xr3:uid="{5B6F558E-CF33-490F-A3B8-BAF34C1842B6}" name="氣溫(℃)" dataDxfId="4"/>
    <tableColumn id="5" xr3:uid="{42B23C2C-B787-4A42-92D4-5C3EECF916C4}" name="相對溼度(%)" dataDxfId="3"/>
    <tableColumn id="6" xr3:uid="{5CF6735C-65A0-4F31-B3AB-32BE452AF97D}" name="風速(m/s)" dataDxfId="2"/>
    <tableColumn id="7" xr3:uid="{BEEB668A-F5C6-4CB3-AD45-A848FE18D2FC}" name="風向(360degree)" dataDxfId="1"/>
    <tableColumn id="8" xr3:uid="{D6C8F109-AD56-46CF-B20E-5E62BEA6D86D}" name="最大瞬間風(m/s)"/>
    <tableColumn id="9" xr3:uid="{145B060D-8759-4C9D-84F9-C652ED9A4A3C}" name="降水量(mm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48C8-1ED6-4D50-9F42-D669378FD687}">
  <sheetPr codeName="Worksheet___1"/>
  <dimension ref="H1:AJ1"/>
  <sheetViews>
    <sheetView showRowColHeaders="0" tabSelected="1" zoomScale="72" workbookViewId="0">
      <selection activeCell="M9" sqref="M9"/>
    </sheetView>
  </sheetViews>
  <sheetFormatPr defaultColWidth="2.54296875" defaultRowHeight="14.5" x14ac:dyDescent="0.35"/>
  <sheetData>
    <row r="1" spans="8:36" x14ac:dyDescent="0.35"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E7C6-5125-4642-83DF-24CAB3D72367}">
  <dimension ref="A3:K35"/>
  <sheetViews>
    <sheetView workbookViewId="0">
      <selection activeCell="J3" sqref="J3"/>
    </sheetView>
  </sheetViews>
  <sheetFormatPr defaultRowHeight="14.5" x14ac:dyDescent="0.35"/>
  <cols>
    <col min="1" max="1" width="9.453125" bestFit="1" customWidth="1"/>
    <col min="2" max="2" width="15.6328125" bestFit="1" customWidth="1"/>
    <col min="4" max="4" width="9.453125" bestFit="1" customWidth="1"/>
    <col min="5" max="5" width="19.08984375" bestFit="1" customWidth="1"/>
    <col min="7" max="7" width="9.453125" bestFit="1" customWidth="1"/>
    <col min="8" max="8" width="19.26953125" bestFit="1" customWidth="1"/>
    <col min="10" max="10" width="9.08984375" bestFit="1" customWidth="1"/>
    <col min="11" max="12" width="17.08984375" bestFit="1" customWidth="1"/>
  </cols>
  <sheetData>
    <row r="3" spans="1:11" x14ac:dyDescent="0.35">
      <c r="A3" s="1" t="s">
        <v>16</v>
      </c>
      <c r="B3" t="s">
        <v>18</v>
      </c>
      <c r="D3" s="1" t="s">
        <v>16</v>
      </c>
      <c r="E3" t="s">
        <v>19</v>
      </c>
      <c r="G3" s="1" t="s">
        <v>16</v>
      </c>
      <c r="H3" t="s">
        <v>22</v>
      </c>
      <c r="J3" s="1" t="s">
        <v>16</v>
      </c>
      <c r="K3" t="s">
        <v>23</v>
      </c>
    </row>
    <row r="4" spans="1:11" x14ac:dyDescent="0.35">
      <c r="A4" s="6">
        <v>45839</v>
      </c>
      <c r="B4" s="8">
        <v>31.7</v>
      </c>
      <c r="D4" s="6">
        <v>45839</v>
      </c>
      <c r="E4" s="8"/>
      <c r="G4" s="6">
        <v>45839</v>
      </c>
      <c r="H4" s="8">
        <v>70</v>
      </c>
      <c r="J4" s="2">
        <v>7</v>
      </c>
      <c r="K4" s="8">
        <v>19</v>
      </c>
    </row>
    <row r="5" spans="1:11" x14ac:dyDescent="0.35">
      <c r="A5" s="6">
        <v>45840</v>
      </c>
      <c r="B5" s="8">
        <v>31.8</v>
      </c>
      <c r="D5" s="6">
        <v>45840</v>
      </c>
      <c r="E5" s="8"/>
      <c r="G5" s="6">
        <v>45840</v>
      </c>
      <c r="H5" s="8">
        <v>68</v>
      </c>
      <c r="J5" s="7">
        <v>2025</v>
      </c>
      <c r="K5" s="8">
        <v>19</v>
      </c>
    </row>
    <row r="6" spans="1:11" x14ac:dyDescent="0.35">
      <c r="A6" s="6">
        <v>45841</v>
      </c>
      <c r="B6" s="8">
        <v>32</v>
      </c>
      <c r="D6" s="6">
        <v>45841</v>
      </c>
      <c r="E6" s="8"/>
      <c r="G6" s="6">
        <v>45841</v>
      </c>
      <c r="H6" s="8">
        <v>67</v>
      </c>
      <c r="J6" s="2" t="s">
        <v>17</v>
      </c>
      <c r="K6" s="8">
        <v>19</v>
      </c>
    </row>
    <row r="7" spans="1:11" x14ac:dyDescent="0.35">
      <c r="A7" s="6">
        <v>45842</v>
      </c>
      <c r="B7" s="8">
        <v>32.1</v>
      </c>
      <c r="D7" s="6">
        <v>45842</v>
      </c>
      <c r="E7" s="8"/>
      <c r="G7" s="6">
        <v>45842</v>
      </c>
      <c r="H7" s="8">
        <v>67</v>
      </c>
    </row>
    <row r="8" spans="1:11" x14ac:dyDescent="0.35">
      <c r="A8" s="6">
        <v>45843</v>
      </c>
      <c r="B8" s="8">
        <v>30.2</v>
      </c>
      <c r="D8" s="6">
        <v>45843</v>
      </c>
      <c r="E8" s="8"/>
      <c r="G8" s="6">
        <v>45843</v>
      </c>
      <c r="H8" s="8">
        <v>79</v>
      </c>
    </row>
    <row r="9" spans="1:11" x14ac:dyDescent="0.35">
      <c r="A9" s="6">
        <v>45844</v>
      </c>
      <c r="B9" s="8">
        <v>28.7</v>
      </c>
      <c r="D9" s="6">
        <v>45844</v>
      </c>
      <c r="E9" s="8">
        <v>1</v>
      </c>
      <c r="G9" s="6">
        <v>45844</v>
      </c>
      <c r="H9" s="8">
        <v>78</v>
      </c>
    </row>
    <row r="10" spans="1:11" x14ac:dyDescent="0.35">
      <c r="A10" s="6">
        <v>45845</v>
      </c>
      <c r="B10" s="8">
        <v>27.3</v>
      </c>
      <c r="D10" s="6">
        <v>45845</v>
      </c>
      <c r="E10" s="8">
        <v>10</v>
      </c>
      <c r="G10" s="6">
        <v>45845</v>
      </c>
      <c r="H10" s="8">
        <v>92</v>
      </c>
    </row>
    <row r="11" spans="1:11" x14ac:dyDescent="0.35">
      <c r="A11" s="6">
        <v>45846</v>
      </c>
      <c r="B11" s="8">
        <v>29.4</v>
      </c>
      <c r="D11" s="6">
        <v>45846</v>
      </c>
      <c r="E11" s="8">
        <v>1.5</v>
      </c>
      <c r="G11" s="6">
        <v>45846</v>
      </c>
      <c r="H11" s="8">
        <v>85</v>
      </c>
    </row>
    <row r="12" spans="1:11" x14ac:dyDescent="0.35">
      <c r="A12" s="6">
        <v>45847</v>
      </c>
      <c r="B12" s="8">
        <v>25.5</v>
      </c>
      <c r="D12" s="6">
        <v>45847</v>
      </c>
      <c r="E12" s="8">
        <v>11.5</v>
      </c>
      <c r="G12" s="6">
        <v>45847</v>
      </c>
      <c r="H12" s="8">
        <v>94</v>
      </c>
    </row>
    <row r="13" spans="1:11" x14ac:dyDescent="0.35">
      <c r="A13" s="6">
        <v>45848</v>
      </c>
      <c r="B13" s="8">
        <v>25.9</v>
      </c>
      <c r="D13" s="6">
        <v>45848</v>
      </c>
      <c r="E13" s="8">
        <v>4.5</v>
      </c>
      <c r="G13" s="6">
        <v>45848</v>
      </c>
      <c r="H13" s="8">
        <v>95</v>
      </c>
    </row>
    <row r="14" spans="1:11" x14ac:dyDescent="0.35">
      <c r="A14" s="6">
        <v>45849</v>
      </c>
      <c r="B14" s="8">
        <v>27.6</v>
      </c>
      <c r="D14" s="6">
        <v>45849</v>
      </c>
      <c r="E14" s="8">
        <v>0.5</v>
      </c>
      <c r="G14" s="6">
        <v>45849</v>
      </c>
      <c r="H14" s="8">
        <v>92</v>
      </c>
    </row>
    <row r="15" spans="1:11" x14ac:dyDescent="0.35">
      <c r="A15" s="6">
        <v>45850</v>
      </c>
      <c r="B15" s="8">
        <v>29.2</v>
      </c>
      <c r="D15" s="6">
        <v>45850</v>
      </c>
      <c r="E15" s="8">
        <v>32</v>
      </c>
      <c r="G15" s="6">
        <v>45850</v>
      </c>
      <c r="H15" s="8">
        <v>84</v>
      </c>
    </row>
    <row r="16" spans="1:11" x14ac:dyDescent="0.35">
      <c r="A16" s="6">
        <v>45851</v>
      </c>
      <c r="B16" s="8">
        <v>30.6</v>
      </c>
      <c r="D16" s="6">
        <v>45851</v>
      </c>
      <c r="E16" s="8"/>
      <c r="G16" s="6">
        <v>45851</v>
      </c>
      <c r="H16" s="8">
        <v>84</v>
      </c>
    </row>
    <row r="17" spans="1:8" x14ac:dyDescent="0.35">
      <c r="A17" s="6">
        <v>45852</v>
      </c>
      <c r="B17" s="8">
        <v>30.1</v>
      </c>
      <c r="D17" s="6">
        <v>45852</v>
      </c>
      <c r="E17" s="8"/>
      <c r="G17" s="6">
        <v>45852</v>
      </c>
      <c r="H17" s="8">
        <v>84</v>
      </c>
    </row>
    <row r="18" spans="1:8" x14ac:dyDescent="0.35">
      <c r="A18" s="6">
        <v>45853</v>
      </c>
      <c r="B18" s="8">
        <v>31.9</v>
      </c>
      <c r="D18" s="6">
        <v>45853</v>
      </c>
      <c r="E18" s="8"/>
      <c r="G18" s="6">
        <v>45853</v>
      </c>
      <c r="H18" s="8">
        <v>77</v>
      </c>
    </row>
    <row r="19" spans="1:8" x14ac:dyDescent="0.35">
      <c r="A19" s="6">
        <v>45854</v>
      </c>
      <c r="B19" s="8">
        <v>30.2</v>
      </c>
      <c r="D19" s="6">
        <v>45854</v>
      </c>
      <c r="E19" s="8">
        <v>5.5</v>
      </c>
      <c r="G19" s="6">
        <v>45854</v>
      </c>
      <c r="H19" s="8">
        <v>86</v>
      </c>
    </row>
    <row r="20" spans="1:8" x14ac:dyDescent="0.35">
      <c r="A20" s="6">
        <v>45855</v>
      </c>
      <c r="B20" s="8">
        <v>30.5</v>
      </c>
      <c r="D20" s="6">
        <v>45855</v>
      </c>
      <c r="E20" s="8"/>
      <c r="G20" s="6">
        <v>45855</v>
      </c>
      <c r="H20" s="8">
        <v>85</v>
      </c>
    </row>
    <row r="21" spans="1:8" x14ac:dyDescent="0.35">
      <c r="A21" s="6">
        <v>45856</v>
      </c>
      <c r="B21" s="8">
        <v>29.9</v>
      </c>
      <c r="D21" s="6">
        <v>45856</v>
      </c>
      <c r="E21" s="8">
        <v>4</v>
      </c>
      <c r="G21" s="6">
        <v>45856</v>
      </c>
      <c r="H21" s="8">
        <v>81</v>
      </c>
    </row>
    <row r="22" spans="1:8" x14ac:dyDescent="0.35">
      <c r="A22" s="6">
        <v>45857</v>
      </c>
      <c r="B22" s="8">
        <v>29.6</v>
      </c>
      <c r="D22" s="6">
        <v>45857</v>
      </c>
      <c r="E22" s="8">
        <v>74</v>
      </c>
      <c r="G22" s="6">
        <v>45857</v>
      </c>
      <c r="H22" s="8">
        <v>83</v>
      </c>
    </row>
    <row r="23" spans="1:8" x14ac:dyDescent="0.35">
      <c r="A23" s="6">
        <v>45858</v>
      </c>
      <c r="B23" s="8">
        <v>29.3</v>
      </c>
      <c r="D23" s="6">
        <v>45858</v>
      </c>
      <c r="E23" s="8">
        <v>2</v>
      </c>
      <c r="G23" s="6">
        <v>45858</v>
      </c>
      <c r="H23" s="8">
        <v>84</v>
      </c>
    </row>
    <row r="24" spans="1:8" x14ac:dyDescent="0.35">
      <c r="A24" s="6">
        <v>45859</v>
      </c>
      <c r="B24" s="8">
        <v>28.2</v>
      </c>
      <c r="D24" s="6">
        <v>45859</v>
      </c>
      <c r="E24" s="8">
        <v>18</v>
      </c>
      <c r="G24" s="6">
        <v>45859</v>
      </c>
      <c r="H24" s="8">
        <v>88</v>
      </c>
    </row>
    <row r="25" spans="1:8" x14ac:dyDescent="0.35">
      <c r="A25" s="6">
        <v>45860</v>
      </c>
      <c r="B25" s="8">
        <v>30.2</v>
      </c>
      <c r="D25" s="6">
        <v>45860</v>
      </c>
      <c r="E25" s="8"/>
      <c r="G25" s="6">
        <v>45860</v>
      </c>
      <c r="H25" s="8">
        <v>75</v>
      </c>
    </row>
    <row r="26" spans="1:8" x14ac:dyDescent="0.35">
      <c r="A26" s="6">
        <v>45861</v>
      </c>
      <c r="B26" s="8">
        <v>30.7</v>
      </c>
      <c r="D26" s="6">
        <v>45861</v>
      </c>
      <c r="E26" s="8">
        <v>8</v>
      </c>
      <c r="G26" s="6">
        <v>45861</v>
      </c>
      <c r="H26" s="8">
        <v>75</v>
      </c>
    </row>
    <row r="27" spans="1:8" x14ac:dyDescent="0.35">
      <c r="A27" s="6">
        <v>45862</v>
      </c>
      <c r="B27" s="8">
        <v>28.2</v>
      </c>
      <c r="D27" s="6">
        <v>45862</v>
      </c>
      <c r="E27" s="8">
        <v>15</v>
      </c>
      <c r="G27" s="6">
        <v>45862</v>
      </c>
      <c r="H27" s="8">
        <v>91</v>
      </c>
    </row>
    <row r="28" spans="1:8" x14ac:dyDescent="0.35">
      <c r="A28" s="6">
        <v>45863</v>
      </c>
      <c r="B28" s="8">
        <v>27.7</v>
      </c>
      <c r="D28" s="6">
        <v>45863</v>
      </c>
      <c r="E28" s="8">
        <v>44.5</v>
      </c>
      <c r="G28" s="6">
        <v>45863</v>
      </c>
      <c r="H28" s="8">
        <v>93</v>
      </c>
    </row>
    <row r="29" spans="1:8" x14ac:dyDescent="0.35">
      <c r="A29" s="6">
        <v>45864</v>
      </c>
      <c r="B29" s="8">
        <v>29.9</v>
      </c>
      <c r="D29" s="6">
        <v>45864</v>
      </c>
      <c r="E29" s="8">
        <v>3</v>
      </c>
      <c r="G29" s="6">
        <v>45864</v>
      </c>
      <c r="H29" s="8">
        <v>89</v>
      </c>
    </row>
    <row r="30" spans="1:8" x14ac:dyDescent="0.35">
      <c r="A30" s="6">
        <v>45865</v>
      </c>
      <c r="B30" s="8">
        <v>29.7</v>
      </c>
      <c r="D30" s="6">
        <v>45865</v>
      </c>
      <c r="E30" s="8">
        <v>2</v>
      </c>
      <c r="G30" s="6">
        <v>45865</v>
      </c>
      <c r="H30" s="8">
        <v>89</v>
      </c>
    </row>
    <row r="31" spans="1:8" x14ac:dyDescent="0.35">
      <c r="A31" s="6">
        <v>45866</v>
      </c>
      <c r="B31" s="8">
        <v>29.1</v>
      </c>
      <c r="D31" s="6">
        <v>45866</v>
      </c>
      <c r="E31" s="8">
        <v>5.5</v>
      </c>
      <c r="G31" s="6">
        <v>45866</v>
      </c>
      <c r="H31" s="8">
        <v>90</v>
      </c>
    </row>
    <row r="32" spans="1:8" x14ac:dyDescent="0.35">
      <c r="A32" s="6">
        <v>45867</v>
      </c>
      <c r="B32" s="8">
        <v>28.9</v>
      </c>
      <c r="D32" s="6">
        <v>45867</v>
      </c>
      <c r="E32" s="8">
        <v>31</v>
      </c>
      <c r="G32" s="6">
        <v>45867</v>
      </c>
      <c r="H32" s="8">
        <v>87</v>
      </c>
    </row>
    <row r="33" spans="1:8" x14ac:dyDescent="0.35">
      <c r="A33" s="6">
        <v>45868</v>
      </c>
      <c r="B33" s="8">
        <v>31</v>
      </c>
      <c r="D33" s="6">
        <v>45868</v>
      </c>
      <c r="E33" s="8"/>
      <c r="G33" s="6">
        <v>45868</v>
      </c>
      <c r="H33" s="8">
        <v>81</v>
      </c>
    </row>
    <row r="34" spans="1:8" x14ac:dyDescent="0.35">
      <c r="A34" s="6">
        <v>45869</v>
      </c>
      <c r="B34" s="8">
        <v>31</v>
      </c>
      <c r="D34" s="6">
        <v>45869</v>
      </c>
      <c r="E34" s="8"/>
      <c r="G34" s="6">
        <v>45869</v>
      </c>
      <c r="H34" s="8">
        <v>80</v>
      </c>
    </row>
    <row r="35" spans="1:8" x14ac:dyDescent="0.35">
      <c r="A35" s="2" t="s">
        <v>17</v>
      </c>
      <c r="B35" s="8">
        <v>29.616129032258073</v>
      </c>
      <c r="D35" s="2" t="s">
        <v>17</v>
      </c>
      <c r="E35" s="8">
        <v>14.394736842105264</v>
      </c>
      <c r="G35" s="2" t="s">
        <v>17</v>
      </c>
      <c r="H35" s="8">
        <v>83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AB4A-051C-4882-A50E-A39882C8ED8A}">
  <dimension ref="A1:I125"/>
  <sheetViews>
    <sheetView topLeftCell="A104" workbookViewId="0">
      <selection activeCell="I114" sqref="I114"/>
    </sheetView>
  </sheetViews>
  <sheetFormatPr defaultRowHeight="14.5" x14ac:dyDescent="0.35"/>
  <cols>
    <col min="3" max="3" width="15.453125" customWidth="1"/>
    <col min="4" max="4" width="10.08984375" customWidth="1"/>
    <col min="5" max="5" width="13.90625" customWidth="1"/>
    <col min="6" max="6" width="11.6328125" customWidth="1"/>
    <col min="7" max="7" width="17.1796875" customWidth="1"/>
    <col min="8" max="8" width="17.7265625" customWidth="1"/>
    <col min="9" max="9" width="13.6328125" customWidth="1"/>
  </cols>
  <sheetData>
    <row r="1" spans="1:9" x14ac:dyDescent="0.35">
      <c r="A1" t="s">
        <v>20</v>
      </c>
      <c r="B1" t="s">
        <v>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35">
      <c r="A2" t="s">
        <v>20</v>
      </c>
      <c r="B2" t="s">
        <v>21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35">
      <c r="A3">
        <f>YEAR(C3)</f>
        <v>2025</v>
      </c>
      <c r="B3">
        <f>MONTH(C3)</f>
        <v>7</v>
      </c>
      <c r="C3" s="4">
        <v>45839</v>
      </c>
      <c r="D3">
        <v>31.7</v>
      </c>
      <c r="E3">
        <v>70</v>
      </c>
      <c r="F3">
        <v>2</v>
      </c>
      <c r="G3">
        <v>135</v>
      </c>
      <c r="H3">
        <v>9.9</v>
      </c>
    </row>
    <row r="4" spans="1:9" x14ac:dyDescent="0.35">
      <c r="A4">
        <f t="shared" ref="A4:A67" si="0">YEAR(C4)</f>
        <v>2025</v>
      </c>
      <c r="B4">
        <f t="shared" ref="B4:B67" si="1">MONTH(C4)</f>
        <v>7</v>
      </c>
      <c r="C4" s="4">
        <v>45840</v>
      </c>
      <c r="D4">
        <v>31.8</v>
      </c>
      <c r="E4">
        <v>68</v>
      </c>
      <c r="F4">
        <v>1.7</v>
      </c>
      <c r="G4">
        <v>214</v>
      </c>
      <c r="H4">
        <v>10.4</v>
      </c>
    </row>
    <row r="5" spans="1:9" x14ac:dyDescent="0.35">
      <c r="A5">
        <f t="shared" si="0"/>
        <v>2025</v>
      </c>
      <c r="B5">
        <f t="shared" si="1"/>
        <v>7</v>
      </c>
      <c r="C5" s="4">
        <v>45841</v>
      </c>
      <c r="D5">
        <v>32</v>
      </c>
      <c r="E5">
        <v>67</v>
      </c>
      <c r="F5">
        <v>1.6</v>
      </c>
      <c r="G5">
        <v>144</v>
      </c>
      <c r="H5" t="s">
        <v>14</v>
      </c>
    </row>
    <row r="6" spans="1:9" x14ac:dyDescent="0.35">
      <c r="A6">
        <f t="shared" si="0"/>
        <v>2025</v>
      </c>
      <c r="B6">
        <f t="shared" si="1"/>
        <v>7</v>
      </c>
      <c r="C6" s="4">
        <v>45842</v>
      </c>
      <c r="D6">
        <v>32.1</v>
      </c>
      <c r="E6">
        <v>67</v>
      </c>
      <c r="F6">
        <v>1.6</v>
      </c>
      <c r="G6">
        <v>140</v>
      </c>
      <c r="H6">
        <v>8.8000000000000007</v>
      </c>
    </row>
    <row r="7" spans="1:9" x14ac:dyDescent="0.35">
      <c r="A7">
        <f t="shared" si="0"/>
        <v>2025</v>
      </c>
      <c r="B7">
        <f t="shared" si="1"/>
        <v>7</v>
      </c>
      <c r="C7" s="4">
        <v>45843</v>
      </c>
      <c r="D7">
        <v>30.2</v>
      </c>
      <c r="E7">
        <v>79</v>
      </c>
      <c r="F7">
        <v>0.6</v>
      </c>
      <c r="G7">
        <v>200</v>
      </c>
      <c r="H7">
        <v>5.5</v>
      </c>
    </row>
    <row r="8" spans="1:9" x14ac:dyDescent="0.35">
      <c r="A8">
        <f t="shared" si="0"/>
        <v>2025</v>
      </c>
      <c r="B8">
        <f t="shared" si="1"/>
        <v>7</v>
      </c>
      <c r="C8" s="4">
        <v>45844</v>
      </c>
      <c r="D8">
        <v>28.7</v>
      </c>
      <c r="E8">
        <v>78</v>
      </c>
      <c r="F8">
        <v>1.9</v>
      </c>
      <c r="G8">
        <v>134</v>
      </c>
      <c r="H8">
        <v>13.2</v>
      </c>
      <c r="I8">
        <v>1</v>
      </c>
    </row>
    <row r="9" spans="1:9" x14ac:dyDescent="0.35">
      <c r="A9">
        <f t="shared" si="0"/>
        <v>2025</v>
      </c>
      <c r="B9">
        <f t="shared" si="1"/>
        <v>7</v>
      </c>
      <c r="C9" s="4">
        <v>45845</v>
      </c>
      <c r="D9">
        <v>27.3</v>
      </c>
      <c r="E9">
        <v>92</v>
      </c>
      <c r="F9">
        <v>0.8</v>
      </c>
      <c r="G9">
        <v>158</v>
      </c>
      <c r="H9">
        <v>12.6</v>
      </c>
      <c r="I9">
        <v>10</v>
      </c>
    </row>
    <row r="10" spans="1:9" x14ac:dyDescent="0.35">
      <c r="A10">
        <f t="shared" si="0"/>
        <v>2025</v>
      </c>
      <c r="B10">
        <f t="shared" si="1"/>
        <v>7</v>
      </c>
      <c r="C10" s="4">
        <v>45846</v>
      </c>
      <c r="D10">
        <v>29.4</v>
      </c>
      <c r="E10">
        <v>85</v>
      </c>
      <c r="F10">
        <v>0.9</v>
      </c>
      <c r="G10">
        <v>171</v>
      </c>
      <c r="H10">
        <v>6</v>
      </c>
      <c r="I10">
        <v>1.5</v>
      </c>
    </row>
    <row r="11" spans="1:9" x14ac:dyDescent="0.35">
      <c r="A11">
        <f t="shared" si="0"/>
        <v>2025</v>
      </c>
      <c r="B11">
        <f t="shared" si="1"/>
        <v>7</v>
      </c>
      <c r="C11" s="4">
        <v>45847</v>
      </c>
      <c r="D11">
        <v>25.5</v>
      </c>
      <c r="E11">
        <v>94</v>
      </c>
      <c r="F11">
        <v>0.8</v>
      </c>
      <c r="G11">
        <v>175</v>
      </c>
      <c r="H11">
        <v>6.6</v>
      </c>
      <c r="I11">
        <v>11.5</v>
      </c>
    </row>
    <row r="12" spans="1:9" x14ac:dyDescent="0.35">
      <c r="A12">
        <f t="shared" si="0"/>
        <v>2025</v>
      </c>
      <c r="B12">
        <f t="shared" si="1"/>
        <v>7</v>
      </c>
      <c r="C12" s="4">
        <v>45848</v>
      </c>
      <c r="D12">
        <v>25.9</v>
      </c>
      <c r="E12">
        <v>95</v>
      </c>
      <c r="F12">
        <v>0.3</v>
      </c>
      <c r="G12">
        <v>198</v>
      </c>
      <c r="H12">
        <v>6</v>
      </c>
      <c r="I12">
        <v>4.5</v>
      </c>
    </row>
    <row r="13" spans="1:9" x14ac:dyDescent="0.35">
      <c r="A13">
        <f t="shared" si="0"/>
        <v>2025</v>
      </c>
      <c r="B13">
        <f t="shared" si="1"/>
        <v>7</v>
      </c>
      <c r="C13" s="4">
        <v>45849</v>
      </c>
      <c r="D13">
        <v>27.6</v>
      </c>
      <c r="E13">
        <v>92</v>
      </c>
      <c r="F13">
        <v>0.3</v>
      </c>
      <c r="G13">
        <v>182</v>
      </c>
      <c r="H13">
        <v>3.5</v>
      </c>
      <c r="I13">
        <v>0.5</v>
      </c>
    </row>
    <row r="14" spans="1:9" x14ac:dyDescent="0.35">
      <c r="A14">
        <f t="shared" si="0"/>
        <v>2025</v>
      </c>
      <c r="B14">
        <f t="shared" si="1"/>
        <v>7</v>
      </c>
      <c r="C14" s="4">
        <v>45850</v>
      </c>
      <c r="D14">
        <v>29.2</v>
      </c>
      <c r="E14">
        <v>84</v>
      </c>
      <c r="F14">
        <v>0.9</v>
      </c>
      <c r="G14">
        <v>22</v>
      </c>
      <c r="H14">
        <v>5.5</v>
      </c>
      <c r="I14">
        <v>32</v>
      </c>
    </row>
    <row r="15" spans="1:9" x14ac:dyDescent="0.35">
      <c r="A15">
        <f t="shared" si="0"/>
        <v>2025</v>
      </c>
      <c r="B15">
        <f t="shared" si="1"/>
        <v>7</v>
      </c>
      <c r="C15" s="4">
        <v>45851</v>
      </c>
      <c r="D15">
        <v>30.6</v>
      </c>
      <c r="E15">
        <v>84</v>
      </c>
      <c r="F15">
        <v>0.4</v>
      </c>
      <c r="G15">
        <v>45</v>
      </c>
      <c r="H15">
        <v>6.6</v>
      </c>
    </row>
    <row r="16" spans="1:9" x14ac:dyDescent="0.35">
      <c r="A16">
        <f t="shared" si="0"/>
        <v>2025</v>
      </c>
      <c r="B16">
        <f t="shared" si="1"/>
        <v>7</v>
      </c>
      <c r="C16" s="4">
        <v>45852</v>
      </c>
      <c r="D16">
        <v>30.1</v>
      </c>
      <c r="E16">
        <v>84</v>
      </c>
      <c r="F16">
        <v>1.5</v>
      </c>
      <c r="G16">
        <v>26</v>
      </c>
      <c r="H16">
        <v>7.1</v>
      </c>
    </row>
    <row r="17" spans="1:9" x14ac:dyDescent="0.35">
      <c r="A17">
        <f t="shared" si="0"/>
        <v>2025</v>
      </c>
      <c r="B17">
        <f t="shared" si="1"/>
        <v>7</v>
      </c>
      <c r="C17" s="4">
        <v>45853</v>
      </c>
      <c r="D17">
        <v>31.9</v>
      </c>
      <c r="E17">
        <v>77</v>
      </c>
      <c r="F17">
        <v>0.9</v>
      </c>
      <c r="G17">
        <v>24</v>
      </c>
      <c r="H17">
        <v>8.8000000000000007</v>
      </c>
    </row>
    <row r="18" spans="1:9" x14ac:dyDescent="0.35">
      <c r="A18">
        <f t="shared" si="0"/>
        <v>2025</v>
      </c>
      <c r="B18">
        <f t="shared" si="1"/>
        <v>7</v>
      </c>
      <c r="C18" s="4">
        <v>45854</v>
      </c>
      <c r="D18">
        <v>30.2</v>
      </c>
      <c r="E18">
        <v>86</v>
      </c>
      <c r="F18">
        <v>0.9</v>
      </c>
      <c r="G18">
        <v>181</v>
      </c>
      <c r="H18">
        <v>7.7</v>
      </c>
      <c r="I18">
        <v>5.5</v>
      </c>
    </row>
    <row r="19" spans="1:9" x14ac:dyDescent="0.35">
      <c r="A19">
        <f t="shared" si="0"/>
        <v>2025</v>
      </c>
      <c r="B19">
        <f t="shared" si="1"/>
        <v>7</v>
      </c>
      <c r="C19" s="4">
        <v>45855</v>
      </c>
      <c r="D19">
        <v>30.5</v>
      </c>
      <c r="E19">
        <v>85</v>
      </c>
      <c r="F19">
        <v>0.5</v>
      </c>
      <c r="G19">
        <v>177</v>
      </c>
      <c r="H19">
        <v>5.5</v>
      </c>
    </row>
    <row r="20" spans="1:9" x14ac:dyDescent="0.35">
      <c r="A20">
        <f t="shared" si="0"/>
        <v>2025</v>
      </c>
      <c r="B20">
        <f t="shared" si="1"/>
        <v>7</v>
      </c>
      <c r="C20" s="4">
        <v>45856</v>
      </c>
      <c r="D20">
        <v>29.9</v>
      </c>
      <c r="E20">
        <v>81</v>
      </c>
      <c r="F20">
        <v>2.4</v>
      </c>
      <c r="G20">
        <v>157</v>
      </c>
      <c r="H20">
        <v>15.4</v>
      </c>
      <c r="I20">
        <v>4</v>
      </c>
    </row>
    <row r="21" spans="1:9" x14ac:dyDescent="0.35">
      <c r="A21">
        <f t="shared" si="0"/>
        <v>2025</v>
      </c>
      <c r="B21">
        <f t="shared" si="1"/>
        <v>7</v>
      </c>
      <c r="C21" s="4">
        <v>45857</v>
      </c>
      <c r="D21">
        <v>29.6</v>
      </c>
      <c r="E21">
        <v>83</v>
      </c>
      <c r="F21">
        <v>3.9</v>
      </c>
      <c r="G21">
        <v>155</v>
      </c>
      <c r="H21">
        <v>22</v>
      </c>
      <c r="I21">
        <v>74</v>
      </c>
    </row>
    <row r="22" spans="1:9" x14ac:dyDescent="0.35">
      <c r="A22">
        <f t="shared" si="0"/>
        <v>2025</v>
      </c>
      <c r="B22">
        <f t="shared" si="1"/>
        <v>7</v>
      </c>
      <c r="C22" s="4">
        <v>45858</v>
      </c>
      <c r="D22">
        <v>29.3</v>
      </c>
      <c r="E22">
        <v>84</v>
      </c>
      <c r="F22">
        <v>1.7</v>
      </c>
      <c r="G22">
        <v>156</v>
      </c>
      <c r="H22">
        <v>12.1</v>
      </c>
      <c r="I22">
        <v>2</v>
      </c>
    </row>
    <row r="23" spans="1:9" x14ac:dyDescent="0.35">
      <c r="A23">
        <f t="shared" si="0"/>
        <v>2025</v>
      </c>
      <c r="B23">
        <f t="shared" si="1"/>
        <v>7</v>
      </c>
      <c r="C23" s="4">
        <v>45859</v>
      </c>
      <c r="D23">
        <v>28.2</v>
      </c>
      <c r="E23">
        <v>88</v>
      </c>
      <c r="F23">
        <v>1</v>
      </c>
      <c r="G23">
        <v>146</v>
      </c>
      <c r="H23">
        <v>11</v>
      </c>
      <c r="I23">
        <v>18</v>
      </c>
    </row>
    <row r="24" spans="1:9" x14ac:dyDescent="0.35">
      <c r="A24">
        <f t="shared" si="0"/>
        <v>2025</v>
      </c>
      <c r="B24">
        <f t="shared" si="1"/>
        <v>7</v>
      </c>
      <c r="C24" s="4">
        <v>45860</v>
      </c>
      <c r="D24">
        <v>30.2</v>
      </c>
      <c r="E24">
        <v>75</v>
      </c>
      <c r="F24">
        <v>2.2999999999999998</v>
      </c>
      <c r="G24">
        <v>163</v>
      </c>
      <c r="H24">
        <v>11</v>
      </c>
    </row>
    <row r="25" spans="1:9" x14ac:dyDescent="0.35">
      <c r="A25">
        <f t="shared" si="0"/>
        <v>2025</v>
      </c>
      <c r="B25">
        <f t="shared" si="1"/>
        <v>7</v>
      </c>
      <c r="C25" s="4">
        <v>45861</v>
      </c>
      <c r="D25">
        <v>30.7</v>
      </c>
      <c r="E25">
        <v>75</v>
      </c>
      <c r="F25">
        <v>1.5</v>
      </c>
      <c r="G25">
        <v>150</v>
      </c>
      <c r="H25">
        <v>9.3000000000000007</v>
      </c>
      <c r="I25">
        <v>8</v>
      </c>
    </row>
    <row r="26" spans="1:9" x14ac:dyDescent="0.35">
      <c r="A26">
        <f t="shared" si="0"/>
        <v>2025</v>
      </c>
      <c r="B26">
        <f t="shared" si="1"/>
        <v>7</v>
      </c>
      <c r="C26" s="4">
        <v>45862</v>
      </c>
      <c r="D26">
        <v>28.2</v>
      </c>
      <c r="E26">
        <v>91</v>
      </c>
      <c r="F26">
        <v>0.5</v>
      </c>
      <c r="G26">
        <v>349</v>
      </c>
      <c r="H26">
        <v>8.1999999999999993</v>
      </c>
      <c r="I26">
        <v>15</v>
      </c>
    </row>
    <row r="27" spans="1:9" x14ac:dyDescent="0.35">
      <c r="A27">
        <f t="shared" si="0"/>
        <v>2025</v>
      </c>
      <c r="B27">
        <f t="shared" si="1"/>
        <v>7</v>
      </c>
      <c r="C27" s="4">
        <v>45863</v>
      </c>
      <c r="D27">
        <v>27.7</v>
      </c>
      <c r="E27">
        <v>93</v>
      </c>
      <c r="F27">
        <v>0.3</v>
      </c>
      <c r="G27">
        <v>35</v>
      </c>
      <c r="H27">
        <v>6</v>
      </c>
      <c r="I27">
        <v>44.5</v>
      </c>
    </row>
    <row r="28" spans="1:9" x14ac:dyDescent="0.35">
      <c r="A28">
        <f t="shared" si="0"/>
        <v>2025</v>
      </c>
      <c r="B28">
        <f t="shared" si="1"/>
        <v>7</v>
      </c>
      <c r="C28" s="4">
        <v>45864</v>
      </c>
      <c r="D28">
        <v>29.9</v>
      </c>
      <c r="E28">
        <v>89</v>
      </c>
      <c r="F28">
        <v>0.1</v>
      </c>
      <c r="G28">
        <v>0</v>
      </c>
      <c r="H28">
        <v>4.9000000000000004</v>
      </c>
      <c r="I28">
        <v>3</v>
      </c>
    </row>
    <row r="29" spans="1:9" x14ac:dyDescent="0.35">
      <c r="A29">
        <f t="shared" si="0"/>
        <v>2025</v>
      </c>
      <c r="B29">
        <f t="shared" si="1"/>
        <v>7</v>
      </c>
      <c r="C29" s="4">
        <v>45865</v>
      </c>
      <c r="D29">
        <v>29.7</v>
      </c>
      <c r="E29">
        <v>89</v>
      </c>
      <c r="F29">
        <v>0.4</v>
      </c>
      <c r="G29">
        <v>28</v>
      </c>
      <c r="H29">
        <v>5.5</v>
      </c>
      <c r="I29">
        <v>2</v>
      </c>
    </row>
    <row r="30" spans="1:9" x14ac:dyDescent="0.35">
      <c r="A30">
        <f t="shared" si="0"/>
        <v>2025</v>
      </c>
      <c r="B30">
        <f t="shared" si="1"/>
        <v>7</v>
      </c>
      <c r="C30" s="4">
        <v>45866</v>
      </c>
      <c r="D30">
        <v>29.1</v>
      </c>
      <c r="E30">
        <v>90</v>
      </c>
      <c r="F30">
        <v>1</v>
      </c>
      <c r="G30">
        <v>24</v>
      </c>
      <c r="H30">
        <v>8.1999999999999993</v>
      </c>
      <c r="I30">
        <v>5.5</v>
      </c>
    </row>
    <row r="31" spans="1:9" x14ac:dyDescent="0.35">
      <c r="A31">
        <f t="shared" si="0"/>
        <v>2025</v>
      </c>
      <c r="B31">
        <f t="shared" si="1"/>
        <v>7</v>
      </c>
      <c r="C31" s="4">
        <v>45867</v>
      </c>
      <c r="D31">
        <v>28.9</v>
      </c>
      <c r="E31">
        <v>87</v>
      </c>
      <c r="F31">
        <v>0.9</v>
      </c>
      <c r="G31">
        <v>20</v>
      </c>
      <c r="H31">
        <v>9.3000000000000007</v>
      </c>
      <c r="I31">
        <v>31</v>
      </c>
    </row>
    <row r="32" spans="1:9" x14ac:dyDescent="0.35">
      <c r="A32">
        <f t="shared" si="0"/>
        <v>2025</v>
      </c>
      <c r="B32">
        <f t="shared" si="1"/>
        <v>7</v>
      </c>
      <c r="C32" s="4">
        <v>45868</v>
      </c>
      <c r="D32">
        <v>31</v>
      </c>
      <c r="E32">
        <v>81</v>
      </c>
      <c r="F32">
        <v>0.7</v>
      </c>
      <c r="G32">
        <v>316</v>
      </c>
      <c r="H32">
        <v>8.1999999999999993</v>
      </c>
    </row>
    <row r="33" spans="1:9" x14ac:dyDescent="0.35">
      <c r="A33">
        <f t="shared" si="0"/>
        <v>2025</v>
      </c>
      <c r="B33">
        <f t="shared" si="1"/>
        <v>7</v>
      </c>
      <c r="C33" s="4">
        <v>45869</v>
      </c>
      <c r="D33">
        <v>31</v>
      </c>
      <c r="E33">
        <v>80</v>
      </c>
      <c r="F33">
        <v>0.9</v>
      </c>
      <c r="G33">
        <v>175</v>
      </c>
      <c r="H33">
        <v>8.1999999999999993</v>
      </c>
    </row>
    <row r="34" spans="1:9" x14ac:dyDescent="0.35">
      <c r="A34">
        <f t="shared" si="0"/>
        <v>2025</v>
      </c>
      <c r="B34">
        <f t="shared" si="1"/>
        <v>8</v>
      </c>
      <c r="C34" s="4">
        <v>45870</v>
      </c>
      <c r="D34">
        <v>29.8</v>
      </c>
      <c r="E34">
        <v>86</v>
      </c>
      <c r="F34">
        <v>0.5</v>
      </c>
      <c r="G34">
        <v>180</v>
      </c>
      <c r="H34">
        <v>4.0999999999999996</v>
      </c>
      <c r="I34">
        <v>4</v>
      </c>
    </row>
    <row r="35" spans="1:9" x14ac:dyDescent="0.35">
      <c r="A35">
        <f t="shared" si="0"/>
        <v>2025</v>
      </c>
      <c r="B35">
        <f t="shared" si="1"/>
        <v>8</v>
      </c>
      <c r="C35" s="4">
        <v>45871</v>
      </c>
      <c r="D35">
        <v>29.5</v>
      </c>
      <c r="E35">
        <v>87</v>
      </c>
      <c r="F35">
        <v>0.4</v>
      </c>
      <c r="G35">
        <v>202</v>
      </c>
      <c r="H35">
        <v>7.7</v>
      </c>
      <c r="I35">
        <v>17.5</v>
      </c>
    </row>
    <row r="36" spans="1:9" x14ac:dyDescent="0.35">
      <c r="A36">
        <f t="shared" si="0"/>
        <v>2025</v>
      </c>
      <c r="B36">
        <f t="shared" si="1"/>
        <v>8</v>
      </c>
      <c r="C36" s="4">
        <v>45872</v>
      </c>
      <c r="D36">
        <v>29.2</v>
      </c>
      <c r="E36">
        <v>89</v>
      </c>
      <c r="F36">
        <v>1.1000000000000001</v>
      </c>
      <c r="G36">
        <v>176</v>
      </c>
      <c r="H36">
        <v>7.1</v>
      </c>
      <c r="I36">
        <v>2</v>
      </c>
    </row>
    <row r="37" spans="1:9" x14ac:dyDescent="0.35">
      <c r="A37">
        <f t="shared" si="0"/>
        <v>2025</v>
      </c>
      <c r="B37">
        <f t="shared" si="1"/>
        <v>8</v>
      </c>
      <c r="C37" s="4">
        <v>45873</v>
      </c>
      <c r="D37">
        <v>29.7</v>
      </c>
      <c r="E37">
        <v>89</v>
      </c>
      <c r="F37">
        <v>0.2</v>
      </c>
      <c r="G37">
        <v>0</v>
      </c>
      <c r="H37">
        <v>4.9000000000000004</v>
      </c>
    </row>
    <row r="38" spans="1:9" x14ac:dyDescent="0.35">
      <c r="A38">
        <f t="shared" si="0"/>
        <v>2025</v>
      </c>
      <c r="B38">
        <f t="shared" si="1"/>
        <v>8</v>
      </c>
      <c r="C38" s="4">
        <v>45874</v>
      </c>
      <c r="D38">
        <v>28.5</v>
      </c>
      <c r="E38">
        <v>89</v>
      </c>
      <c r="F38">
        <v>0.5</v>
      </c>
      <c r="G38">
        <v>197</v>
      </c>
      <c r="H38">
        <v>7.7</v>
      </c>
      <c r="I38">
        <v>87.5</v>
      </c>
    </row>
    <row r="39" spans="1:9" x14ac:dyDescent="0.35">
      <c r="A39">
        <f t="shared" si="0"/>
        <v>2025</v>
      </c>
      <c r="B39">
        <f t="shared" si="1"/>
        <v>8</v>
      </c>
      <c r="C39" s="4">
        <v>45875</v>
      </c>
      <c r="D39">
        <v>29.4</v>
      </c>
      <c r="E39">
        <v>89</v>
      </c>
      <c r="F39">
        <v>0.3</v>
      </c>
      <c r="G39">
        <v>355</v>
      </c>
      <c r="H39" t="s">
        <v>14</v>
      </c>
      <c r="I39">
        <v>0.5</v>
      </c>
    </row>
    <row r="40" spans="1:9" x14ac:dyDescent="0.35">
      <c r="A40">
        <f t="shared" si="0"/>
        <v>2025</v>
      </c>
      <c r="B40">
        <f t="shared" si="1"/>
        <v>8</v>
      </c>
      <c r="C40" s="4">
        <v>45876</v>
      </c>
      <c r="D40">
        <v>30.5</v>
      </c>
      <c r="E40">
        <v>81</v>
      </c>
      <c r="F40">
        <v>0.5</v>
      </c>
      <c r="G40">
        <v>357</v>
      </c>
      <c r="H40">
        <v>6</v>
      </c>
    </row>
    <row r="41" spans="1:9" x14ac:dyDescent="0.35">
      <c r="A41">
        <f t="shared" si="0"/>
        <v>2025</v>
      </c>
      <c r="B41">
        <f t="shared" si="1"/>
        <v>8</v>
      </c>
      <c r="C41" s="4">
        <v>45877</v>
      </c>
      <c r="D41">
        <v>30</v>
      </c>
      <c r="E41">
        <v>85</v>
      </c>
      <c r="F41">
        <v>0.7</v>
      </c>
      <c r="G41">
        <v>12</v>
      </c>
      <c r="H41">
        <v>6</v>
      </c>
    </row>
    <row r="42" spans="1:9" x14ac:dyDescent="0.35">
      <c r="A42">
        <f t="shared" si="0"/>
        <v>2025</v>
      </c>
      <c r="B42">
        <f t="shared" si="1"/>
        <v>8</v>
      </c>
      <c r="C42" s="4">
        <v>45878</v>
      </c>
      <c r="D42">
        <v>30.1</v>
      </c>
      <c r="E42">
        <v>87</v>
      </c>
      <c r="F42">
        <v>0.5</v>
      </c>
      <c r="G42">
        <v>39</v>
      </c>
      <c r="H42" t="s">
        <v>14</v>
      </c>
      <c r="I42">
        <v>1</v>
      </c>
    </row>
    <row r="43" spans="1:9" x14ac:dyDescent="0.35">
      <c r="A43">
        <f t="shared" si="0"/>
        <v>2025</v>
      </c>
      <c r="B43">
        <f t="shared" si="1"/>
        <v>8</v>
      </c>
      <c r="C43" s="4">
        <v>45879</v>
      </c>
      <c r="D43">
        <v>29.9</v>
      </c>
      <c r="E43">
        <v>87</v>
      </c>
      <c r="F43">
        <v>0.4</v>
      </c>
      <c r="G43">
        <v>355</v>
      </c>
      <c r="H43">
        <v>6</v>
      </c>
      <c r="I43">
        <v>14</v>
      </c>
    </row>
    <row r="44" spans="1:9" x14ac:dyDescent="0.35">
      <c r="A44">
        <f t="shared" si="0"/>
        <v>2025</v>
      </c>
      <c r="B44">
        <f t="shared" si="1"/>
        <v>8</v>
      </c>
      <c r="C44" s="4">
        <v>45880</v>
      </c>
      <c r="D44">
        <v>29.4</v>
      </c>
      <c r="E44">
        <v>88</v>
      </c>
      <c r="F44">
        <v>0.4</v>
      </c>
      <c r="G44">
        <v>14</v>
      </c>
      <c r="H44">
        <v>5.5</v>
      </c>
      <c r="I44">
        <v>12</v>
      </c>
    </row>
    <row r="45" spans="1:9" x14ac:dyDescent="0.35">
      <c r="A45">
        <f t="shared" si="0"/>
        <v>2025</v>
      </c>
      <c r="B45">
        <f t="shared" si="1"/>
        <v>8</v>
      </c>
      <c r="C45" s="4">
        <v>45881</v>
      </c>
      <c r="D45">
        <v>30.5</v>
      </c>
      <c r="E45">
        <v>82</v>
      </c>
      <c r="F45">
        <v>0.8</v>
      </c>
      <c r="G45">
        <v>181</v>
      </c>
      <c r="H45">
        <v>5.5</v>
      </c>
    </row>
    <row r="46" spans="1:9" x14ac:dyDescent="0.35">
      <c r="A46">
        <f t="shared" si="0"/>
        <v>2025</v>
      </c>
      <c r="B46">
        <f t="shared" si="1"/>
        <v>8</v>
      </c>
      <c r="C46" s="4">
        <v>45882</v>
      </c>
      <c r="D46">
        <v>29.6</v>
      </c>
      <c r="E46">
        <v>81</v>
      </c>
      <c r="F46">
        <v>3.5</v>
      </c>
      <c r="G46">
        <v>154</v>
      </c>
      <c r="H46">
        <v>25.3</v>
      </c>
      <c r="I46">
        <v>18.5</v>
      </c>
    </row>
    <row r="47" spans="1:9" x14ac:dyDescent="0.35">
      <c r="A47">
        <f t="shared" si="0"/>
        <v>2025</v>
      </c>
      <c r="B47">
        <f t="shared" si="1"/>
        <v>8</v>
      </c>
      <c r="C47" s="4">
        <v>45883</v>
      </c>
      <c r="D47">
        <v>30.3</v>
      </c>
      <c r="E47">
        <v>73</v>
      </c>
      <c r="F47">
        <v>2</v>
      </c>
      <c r="G47">
        <v>156</v>
      </c>
      <c r="H47" t="s">
        <v>14</v>
      </c>
    </row>
    <row r="48" spans="1:9" x14ac:dyDescent="0.35">
      <c r="A48">
        <f t="shared" si="0"/>
        <v>2025</v>
      </c>
      <c r="B48">
        <f t="shared" si="1"/>
        <v>8</v>
      </c>
      <c r="C48" s="4">
        <v>45884</v>
      </c>
      <c r="D48">
        <v>31.2</v>
      </c>
      <c r="E48">
        <v>66</v>
      </c>
      <c r="F48">
        <v>2.7</v>
      </c>
      <c r="G48">
        <v>150</v>
      </c>
      <c r="H48">
        <v>13.7</v>
      </c>
    </row>
    <row r="49" spans="1:9" x14ac:dyDescent="0.35">
      <c r="A49">
        <f t="shared" si="0"/>
        <v>2025</v>
      </c>
      <c r="B49">
        <f t="shared" si="1"/>
        <v>8</v>
      </c>
      <c r="C49" s="4">
        <v>45885</v>
      </c>
      <c r="D49">
        <v>30.8</v>
      </c>
      <c r="E49">
        <v>69</v>
      </c>
      <c r="F49">
        <v>2</v>
      </c>
      <c r="G49">
        <v>163</v>
      </c>
      <c r="H49" t="s">
        <v>14</v>
      </c>
    </row>
    <row r="50" spans="1:9" x14ac:dyDescent="0.35">
      <c r="A50">
        <f t="shared" si="0"/>
        <v>2025</v>
      </c>
      <c r="B50">
        <f t="shared" si="1"/>
        <v>8</v>
      </c>
      <c r="C50" s="4">
        <v>45886</v>
      </c>
      <c r="D50">
        <v>31.5</v>
      </c>
      <c r="E50">
        <v>66</v>
      </c>
      <c r="F50">
        <v>1.7</v>
      </c>
      <c r="G50">
        <v>161</v>
      </c>
      <c r="H50">
        <v>11</v>
      </c>
    </row>
    <row r="51" spans="1:9" x14ac:dyDescent="0.35">
      <c r="A51">
        <f t="shared" si="0"/>
        <v>2025</v>
      </c>
      <c r="B51">
        <f t="shared" si="1"/>
        <v>8</v>
      </c>
      <c r="C51" s="4">
        <v>45887</v>
      </c>
      <c r="D51">
        <v>29.6</v>
      </c>
      <c r="E51">
        <v>82</v>
      </c>
      <c r="F51">
        <v>1</v>
      </c>
      <c r="G51">
        <v>30</v>
      </c>
      <c r="H51">
        <v>6.6</v>
      </c>
      <c r="I51">
        <v>10</v>
      </c>
    </row>
    <row r="52" spans="1:9" x14ac:dyDescent="0.35">
      <c r="A52">
        <f t="shared" si="0"/>
        <v>2025</v>
      </c>
      <c r="B52">
        <f t="shared" si="1"/>
        <v>8</v>
      </c>
      <c r="C52" s="4">
        <v>45888</v>
      </c>
      <c r="D52">
        <v>29.6</v>
      </c>
      <c r="E52">
        <v>83</v>
      </c>
      <c r="F52">
        <v>0.7</v>
      </c>
      <c r="G52">
        <v>173</v>
      </c>
      <c r="H52">
        <v>7.1</v>
      </c>
    </row>
    <row r="53" spans="1:9" x14ac:dyDescent="0.35">
      <c r="A53">
        <f t="shared" si="0"/>
        <v>2025</v>
      </c>
      <c r="B53">
        <f t="shared" si="1"/>
        <v>8</v>
      </c>
      <c r="C53" s="4">
        <v>45889</v>
      </c>
      <c r="D53">
        <v>28.1</v>
      </c>
      <c r="E53">
        <v>86</v>
      </c>
      <c r="F53">
        <v>0.8</v>
      </c>
      <c r="G53">
        <v>340</v>
      </c>
      <c r="H53">
        <v>8.1999999999999993</v>
      </c>
      <c r="I53">
        <v>1.5</v>
      </c>
    </row>
    <row r="54" spans="1:9" x14ac:dyDescent="0.35">
      <c r="A54">
        <f t="shared" si="0"/>
        <v>2025</v>
      </c>
      <c r="B54">
        <f t="shared" si="1"/>
        <v>8</v>
      </c>
      <c r="C54" s="4">
        <v>45890</v>
      </c>
      <c r="D54">
        <v>29.6</v>
      </c>
      <c r="E54">
        <v>75</v>
      </c>
      <c r="F54">
        <v>1.1000000000000001</v>
      </c>
      <c r="G54">
        <v>175</v>
      </c>
      <c r="H54">
        <v>6</v>
      </c>
    </row>
    <row r="55" spans="1:9" x14ac:dyDescent="0.35">
      <c r="A55">
        <f t="shared" si="0"/>
        <v>2025</v>
      </c>
      <c r="B55">
        <f t="shared" si="1"/>
        <v>8</v>
      </c>
      <c r="C55" s="4">
        <v>45891</v>
      </c>
      <c r="D55">
        <v>30.8</v>
      </c>
      <c r="E55">
        <v>74</v>
      </c>
      <c r="F55">
        <v>1</v>
      </c>
      <c r="G55">
        <v>307</v>
      </c>
      <c r="H55">
        <v>6.6</v>
      </c>
    </row>
    <row r="56" spans="1:9" x14ac:dyDescent="0.35">
      <c r="A56">
        <f t="shared" si="0"/>
        <v>2025</v>
      </c>
      <c r="B56">
        <f t="shared" si="1"/>
        <v>8</v>
      </c>
      <c r="C56" s="4">
        <v>45892</v>
      </c>
      <c r="D56">
        <v>31.6</v>
      </c>
      <c r="E56">
        <v>76</v>
      </c>
      <c r="F56">
        <v>0.9</v>
      </c>
      <c r="G56">
        <v>195</v>
      </c>
      <c r="H56">
        <v>5.5</v>
      </c>
    </row>
    <row r="57" spans="1:9" x14ac:dyDescent="0.35">
      <c r="A57">
        <f t="shared" si="0"/>
        <v>2025</v>
      </c>
      <c r="B57">
        <f t="shared" si="1"/>
        <v>8</v>
      </c>
      <c r="C57" s="4">
        <v>45893</v>
      </c>
      <c r="D57">
        <v>31.2</v>
      </c>
      <c r="E57">
        <v>73</v>
      </c>
      <c r="F57">
        <v>1.5</v>
      </c>
      <c r="G57">
        <v>135</v>
      </c>
      <c r="H57">
        <v>11.5</v>
      </c>
    </row>
    <row r="58" spans="1:9" x14ac:dyDescent="0.35">
      <c r="A58">
        <f t="shared" si="0"/>
        <v>2025</v>
      </c>
      <c r="B58">
        <f t="shared" si="1"/>
        <v>8</v>
      </c>
      <c r="C58" s="4">
        <v>45894</v>
      </c>
      <c r="D58">
        <v>31</v>
      </c>
      <c r="E58">
        <v>70</v>
      </c>
      <c r="F58">
        <v>1.8</v>
      </c>
      <c r="G58">
        <v>144</v>
      </c>
      <c r="H58">
        <v>10.4</v>
      </c>
    </row>
    <row r="59" spans="1:9" x14ac:dyDescent="0.35">
      <c r="A59">
        <f t="shared" si="0"/>
        <v>2025</v>
      </c>
      <c r="B59">
        <f t="shared" si="1"/>
        <v>8</v>
      </c>
      <c r="C59" s="4">
        <v>45895</v>
      </c>
      <c r="D59">
        <v>30.7</v>
      </c>
      <c r="E59">
        <v>69</v>
      </c>
      <c r="F59">
        <v>1.7</v>
      </c>
      <c r="G59">
        <v>142</v>
      </c>
      <c r="H59">
        <v>11.5</v>
      </c>
    </row>
    <row r="60" spans="1:9" x14ac:dyDescent="0.35">
      <c r="A60">
        <f t="shared" si="0"/>
        <v>2025</v>
      </c>
      <c r="B60">
        <f t="shared" si="1"/>
        <v>8</v>
      </c>
      <c r="C60" s="4">
        <v>45896</v>
      </c>
      <c r="D60">
        <v>30.7</v>
      </c>
      <c r="E60">
        <v>66</v>
      </c>
      <c r="F60">
        <v>1.9</v>
      </c>
      <c r="G60">
        <v>155</v>
      </c>
      <c r="H60">
        <v>12.1</v>
      </c>
    </row>
    <row r="61" spans="1:9" x14ac:dyDescent="0.35">
      <c r="A61">
        <f t="shared" si="0"/>
        <v>2025</v>
      </c>
      <c r="B61">
        <f t="shared" si="1"/>
        <v>8</v>
      </c>
      <c r="C61" s="4">
        <v>45897</v>
      </c>
      <c r="D61">
        <v>31.5</v>
      </c>
      <c r="E61">
        <v>63</v>
      </c>
      <c r="F61">
        <v>2.5</v>
      </c>
      <c r="G61">
        <v>134</v>
      </c>
      <c r="H61">
        <v>13.2</v>
      </c>
    </row>
    <row r="62" spans="1:9" x14ac:dyDescent="0.35">
      <c r="A62">
        <f t="shared" si="0"/>
        <v>2025</v>
      </c>
      <c r="B62">
        <f t="shared" si="1"/>
        <v>8</v>
      </c>
      <c r="C62" s="4">
        <v>45898</v>
      </c>
      <c r="D62">
        <v>31.7</v>
      </c>
      <c r="E62">
        <v>63</v>
      </c>
      <c r="F62">
        <v>2.2000000000000002</v>
      </c>
      <c r="G62">
        <v>140</v>
      </c>
      <c r="H62">
        <v>11</v>
      </c>
    </row>
    <row r="63" spans="1:9" x14ac:dyDescent="0.35">
      <c r="A63">
        <f t="shared" si="0"/>
        <v>2025</v>
      </c>
      <c r="B63">
        <f t="shared" si="1"/>
        <v>8</v>
      </c>
      <c r="C63" s="4">
        <v>45899</v>
      </c>
      <c r="D63">
        <v>30.9</v>
      </c>
      <c r="E63">
        <v>73</v>
      </c>
      <c r="F63">
        <v>0.9</v>
      </c>
      <c r="G63">
        <v>195</v>
      </c>
      <c r="H63">
        <v>7.7</v>
      </c>
    </row>
    <row r="64" spans="1:9" x14ac:dyDescent="0.35">
      <c r="A64">
        <f t="shared" si="0"/>
        <v>2025</v>
      </c>
      <c r="B64">
        <f t="shared" si="1"/>
        <v>8</v>
      </c>
      <c r="C64" s="4">
        <v>45900</v>
      </c>
      <c r="D64">
        <v>29.1</v>
      </c>
      <c r="E64">
        <v>82</v>
      </c>
      <c r="F64">
        <v>0.7</v>
      </c>
      <c r="G64">
        <v>52</v>
      </c>
      <c r="H64">
        <v>7.1</v>
      </c>
    </row>
    <row r="65" spans="1:9" x14ac:dyDescent="0.35">
      <c r="A65">
        <f t="shared" si="0"/>
        <v>2025</v>
      </c>
      <c r="B65">
        <f t="shared" si="1"/>
        <v>9</v>
      </c>
      <c r="C65" s="4">
        <v>45901</v>
      </c>
      <c r="D65">
        <v>28.9</v>
      </c>
      <c r="E65">
        <v>85</v>
      </c>
      <c r="H65">
        <v>4.9000000000000004</v>
      </c>
      <c r="I65">
        <v>1</v>
      </c>
    </row>
    <row r="66" spans="1:9" x14ac:dyDescent="0.35">
      <c r="A66">
        <f t="shared" si="0"/>
        <v>2025</v>
      </c>
      <c r="B66">
        <f t="shared" si="1"/>
        <v>9</v>
      </c>
      <c r="C66" s="4">
        <v>45902</v>
      </c>
      <c r="D66">
        <v>29.6</v>
      </c>
      <c r="E66">
        <v>82</v>
      </c>
      <c r="H66">
        <v>6.6</v>
      </c>
    </row>
    <row r="67" spans="1:9" x14ac:dyDescent="0.35">
      <c r="A67">
        <f t="shared" si="0"/>
        <v>2025</v>
      </c>
      <c r="B67">
        <f t="shared" si="1"/>
        <v>9</v>
      </c>
      <c r="C67" s="4">
        <v>45903</v>
      </c>
      <c r="D67">
        <v>29.1</v>
      </c>
      <c r="E67">
        <v>84</v>
      </c>
      <c r="H67">
        <v>7.1</v>
      </c>
      <c r="I67">
        <v>7</v>
      </c>
    </row>
    <row r="68" spans="1:9" x14ac:dyDescent="0.35">
      <c r="A68">
        <f t="shared" ref="A68:A125" si="2">YEAR(C68)</f>
        <v>2025</v>
      </c>
      <c r="B68">
        <f t="shared" ref="B68:B125" si="3">MONTH(C68)</f>
        <v>9</v>
      </c>
      <c r="C68" s="4">
        <v>45904</v>
      </c>
      <c r="D68">
        <v>28.6</v>
      </c>
      <c r="E68">
        <v>86</v>
      </c>
      <c r="H68">
        <v>9.9</v>
      </c>
      <c r="I68">
        <v>34.5</v>
      </c>
    </row>
    <row r="69" spans="1:9" x14ac:dyDescent="0.35">
      <c r="A69">
        <f t="shared" si="2"/>
        <v>2025</v>
      </c>
      <c r="B69">
        <f t="shared" si="3"/>
        <v>9</v>
      </c>
      <c r="C69" s="4">
        <v>45905</v>
      </c>
      <c r="D69">
        <v>30.3</v>
      </c>
      <c r="E69">
        <v>74</v>
      </c>
      <c r="H69">
        <v>8.8000000000000007</v>
      </c>
    </row>
    <row r="70" spans="1:9" x14ac:dyDescent="0.35">
      <c r="A70">
        <f t="shared" si="2"/>
        <v>2025</v>
      </c>
      <c r="B70">
        <f t="shared" si="3"/>
        <v>9</v>
      </c>
      <c r="C70" s="4">
        <v>45906</v>
      </c>
      <c r="D70">
        <v>31.5</v>
      </c>
      <c r="E70">
        <v>71</v>
      </c>
      <c r="H70">
        <v>12.1</v>
      </c>
    </row>
    <row r="71" spans="1:9" x14ac:dyDescent="0.35">
      <c r="A71">
        <f t="shared" si="2"/>
        <v>2025</v>
      </c>
      <c r="B71">
        <f t="shared" si="3"/>
        <v>9</v>
      </c>
      <c r="C71" s="4">
        <v>45907</v>
      </c>
      <c r="D71">
        <v>29.6</v>
      </c>
      <c r="E71">
        <v>87</v>
      </c>
      <c r="H71">
        <v>6.6</v>
      </c>
      <c r="I71">
        <v>20.5</v>
      </c>
    </row>
    <row r="72" spans="1:9" x14ac:dyDescent="0.35">
      <c r="A72">
        <f t="shared" si="2"/>
        <v>2025</v>
      </c>
      <c r="B72">
        <f t="shared" si="3"/>
        <v>9</v>
      </c>
      <c r="C72" s="4">
        <v>45908</v>
      </c>
      <c r="D72">
        <v>29.6</v>
      </c>
      <c r="E72">
        <v>84</v>
      </c>
      <c r="H72">
        <v>6.6</v>
      </c>
    </row>
    <row r="73" spans="1:9" x14ac:dyDescent="0.35">
      <c r="A73">
        <f t="shared" si="2"/>
        <v>2025</v>
      </c>
      <c r="B73">
        <f t="shared" si="3"/>
        <v>9</v>
      </c>
      <c r="C73" s="4">
        <v>45909</v>
      </c>
      <c r="D73">
        <v>30.3</v>
      </c>
      <c r="E73">
        <v>81</v>
      </c>
      <c r="H73">
        <v>7.1</v>
      </c>
      <c r="I73">
        <v>0.5</v>
      </c>
    </row>
    <row r="74" spans="1:9" x14ac:dyDescent="0.35">
      <c r="A74">
        <f t="shared" si="2"/>
        <v>2025</v>
      </c>
      <c r="B74">
        <f t="shared" si="3"/>
        <v>9</v>
      </c>
      <c r="C74" s="4">
        <v>45910</v>
      </c>
      <c r="D74">
        <v>29.7</v>
      </c>
      <c r="E74">
        <v>84</v>
      </c>
      <c r="H74">
        <v>6</v>
      </c>
    </row>
    <row r="75" spans="1:9" x14ac:dyDescent="0.35">
      <c r="A75">
        <f t="shared" si="2"/>
        <v>2025</v>
      </c>
      <c r="B75">
        <f t="shared" si="3"/>
        <v>9</v>
      </c>
      <c r="C75" s="4">
        <v>45911</v>
      </c>
      <c r="D75">
        <v>30.6</v>
      </c>
      <c r="E75">
        <v>75</v>
      </c>
      <c r="H75">
        <v>8.1999999999999993</v>
      </c>
    </row>
    <row r="76" spans="1:9" x14ac:dyDescent="0.35">
      <c r="A76">
        <f t="shared" si="2"/>
        <v>2025</v>
      </c>
      <c r="B76">
        <f t="shared" si="3"/>
        <v>9</v>
      </c>
      <c r="C76" s="4">
        <v>45912</v>
      </c>
      <c r="D76">
        <v>29.4</v>
      </c>
      <c r="E76">
        <v>85</v>
      </c>
      <c r="H76">
        <v>6</v>
      </c>
      <c r="I76">
        <v>2.5</v>
      </c>
    </row>
    <row r="77" spans="1:9" x14ac:dyDescent="0.35">
      <c r="A77">
        <f t="shared" si="2"/>
        <v>2025</v>
      </c>
      <c r="B77">
        <f t="shared" si="3"/>
        <v>9</v>
      </c>
      <c r="C77" s="4">
        <v>45913</v>
      </c>
      <c r="D77">
        <v>30.1</v>
      </c>
      <c r="E77">
        <v>78</v>
      </c>
      <c r="H77">
        <v>6</v>
      </c>
    </row>
    <row r="78" spans="1:9" x14ac:dyDescent="0.35">
      <c r="A78">
        <f t="shared" si="2"/>
        <v>2025</v>
      </c>
      <c r="B78">
        <f t="shared" si="3"/>
        <v>9</v>
      </c>
      <c r="C78" s="4">
        <v>45914</v>
      </c>
      <c r="D78">
        <v>29.7</v>
      </c>
      <c r="E78">
        <v>82</v>
      </c>
      <c r="H78">
        <v>6.6</v>
      </c>
    </row>
    <row r="79" spans="1:9" x14ac:dyDescent="0.35">
      <c r="A79">
        <f t="shared" si="2"/>
        <v>2025</v>
      </c>
      <c r="B79">
        <f t="shared" si="3"/>
        <v>9</v>
      </c>
      <c r="C79" s="4">
        <v>45915</v>
      </c>
      <c r="D79">
        <v>30.6</v>
      </c>
      <c r="E79">
        <v>75</v>
      </c>
      <c r="H79">
        <v>10.4</v>
      </c>
    </row>
    <row r="80" spans="1:9" x14ac:dyDescent="0.35">
      <c r="A80">
        <f t="shared" si="2"/>
        <v>2025</v>
      </c>
      <c r="B80">
        <f t="shared" si="3"/>
        <v>9</v>
      </c>
      <c r="C80" s="4">
        <v>45916</v>
      </c>
      <c r="D80">
        <v>30.9</v>
      </c>
      <c r="E80">
        <v>69</v>
      </c>
      <c r="H80">
        <v>12.1</v>
      </c>
    </row>
    <row r="81" spans="1:9" x14ac:dyDescent="0.35">
      <c r="A81">
        <f t="shared" si="2"/>
        <v>2025</v>
      </c>
      <c r="B81">
        <f t="shared" si="3"/>
        <v>9</v>
      </c>
      <c r="C81" s="4">
        <v>45917</v>
      </c>
      <c r="D81">
        <v>31.3</v>
      </c>
      <c r="E81">
        <v>68</v>
      </c>
      <c r="H81">
        <v>12.1</v>
      </c>
    </row>
    <row r="82" spans="1:9" x14ac:dyDescent="0.35">
      <c r="A82">
        <f t="shared" si="2"/>
        <v>2025</v>
      </c>
      <c r="B82">
        <f t="shared" si="3"/>
        <v>9</v>
      </c>
      <c r="C82" s="4">
        <v>45918</v>
      </c>
      <c r="D82">
        <v>30.5</v>
      </c>
      <c r="E82">
        <v>69</v>
      </c>
      <c r="H82">
        <v>13.7</v>
      </c>
    </row>
    <row r="83" spans="1:9" x14ac:dyDescent="0.35">
      <c r="A83">
        <f t="shared" si="2"/>
        <v>2025</v>
      </c>
      <c r="B83">
        <f t="shared" si="3"/>
        <v>9</v>
      </c>
      <c r="C83" s="4">
        <v>45919</v>
      </c>
      <c r="D83">
        <v>30.8</v>
      </c>
      <c r="E83">
        <v>71</v>
      </c>
      <c r="H83">
        <v>12.6</v>
      </c>
    </row>
    <row r="84" spans="1:9" x14ac:dyDescent="0.35">
      <c r="A84">
        <f t="shared" si="2"/>
        <v>2025</v>
      </c>
      <c r="B84">
        <f t="shared" si="3"/>
        <v>9</v>
      </c>
      <c r="C84" s="4">
        <v>45920</v>
      </c>
      <c r="D84">
        <v>30.1</v>
      </c>
      <c r="E84">
        <v>79</v>
      </c>
      <c r="H84" t="s">
        <v>14</v>
      </c>
    </row>
    <row r="85" spans="1:9" x14ac:dyDescent="0.35">
      <c r="A85">
        <f t="shared" si="2"/>
        <v>2025</v>
      </c>
      <c r="B85">
        <f t="shared" si="3"/>
        <v>9</v>
      </c>
      <c r="C85" s="4">
        <v>45921</v>
      </c>
      <c r="D85">
        <v>29.1</v>
      </c>
      <c r="E85">
        <v>84</v>
      </c>
      <c r="H85">
        <v>9.3000000000000007</v>
      </c>
      <c r="I85">
        <v>7.5</v>
      </c>
    </row>
    <row r="86" spans="1:9" x14ac:dyDescent="0.35">
      <c r="A86">
        <f t="shared" si="2"/>
        <v>2025</v>
      </c>
      <c r="B86">
        <f t="shared" si="3"/>
        <v>9</v>
      </c>
      <c r="C86" s="4">
        <v>45922</v>
      </c>
      <c r="D86">
        <v>28.6</v>
      </c>
      <c r="E86">
        <v>88</v>
      </c>
      <c r="H86">
        <v>19.8</v>
      </c>
      <c r="I86">
        <v>71</v>
      </c>
    </row>
    <row r="87" spans="1:9" x14ac:dyDescent="0.35">
      <c r="A87">
        <f t="shared" si="2"/>
        <v>2025</v>
      </c>
      <c r="B87">
        <f t="shared" si="3"/>
        <v>9</v>
      </c>
      <c r="C87" s="4">
        <v>45923</v>
      </c>
      <c r="D87">
        <v>29.9</v>
      </c>
      <c r="E87">
        <v>80</v>
      </c>
      <c r="H87">
        <v>20.399999999999999</v>
      </c>
      <c r="I87">
        <v>31</v>
      </c>
    </row>
    <row r="88" spans="1:9" x14ac:dyDescent="0.35">
      <c r="A88">
        <f t="shared" si="2"/>
        <v>2025</v>
      </c>
      <c r="B88">
        <f t="shared" si="3"/>
        <v>9</v>
      </c>
      <c r="C88" s="4">
        <v>45924</v>
      </c>
      <c r="D88">
        <v>31.7</v>
      </c>
      <c r="E88">
        <v>66</v>
      </c>
      <c r="H88">
        <v>16.5</v>
      </c>
      <c r="I88">
        <v>39.5</v>
      </c>
    </row>
    <row r="89" spans="1:9" x14ac:dyDescent="0.35">
      <c r="A89">
        <f t="shared" si="2"/>
        <v>2025</v>
      </c>
      <c r="B89">
        <f t="shared" si="3"/>
        <v>9</v>
      </c>
      <c r="C89" s="4">
        <v>45925</v>
      </c>
      <c r="D89">
        <v>30.2</v>
      </c>
      <c r="E89">
        <v>69</v>
      </c>
      <c r="H89">
        <v>12.6</v>
      </c>
      <c r="I89" t="s">
        <v>15</v>
      </c>
    </row>
    <row r="90" spans="1:9" x14ac:dyDescent="0.35">
      <c r="A90">
        <f t="shared" si="2"/>
        <v>2025</v>
      </c>
      <c r="B90">
        <f t="shared" si="3"/>
        <v>9</v>
      </c>
      <c r="C90" s="4">
        <v>45926</v>
      </c>
      <c r="D90">
        <v>30.7</v>
      </c>
      <c r="E90">
        <v>69</v>
      </c>
      <c r="H90">
        <v>12.6</v>
      </c>
    </row>
    <row r="91" spans="1:9" x14ac:dyDescent="0.35">
      <c r="A91">
        <f t="shared" si="2"/>
        <v>2025</v>
      </c>
      <c r="B91">
        <f t="shared" si="3"/>
        <v>9</v>
      </c>
      <c r="C91" s="4">
        <v>45927</v>
      </c>
      <c r="D91">
        <v>31.1</v>
      </c>
      <c r="E91">
        <v>70</v>
      </c>
      <c r="H91">
        <v>11.5</v>
      </c>
    </row>
    <row r="92" spans="1:9" x14ac:dyDescent="0.35">
      <c r="A92">
        <f t="shared" si="2"/>
        <v>2025</v>
      </c>
      <c r="B92">
        <f t="shared" si="3"/>
        <v>9</v>
      </c>
      <c r="C92" s="4">
        <v>45928</v>
      </c>
      <c r="D92">
        <v>30.4</v>
      </c>
      <c r="E92">
        <v>77</v>
      </c>
      <c r="H92">
        <v>6</v>
      </c>
    </row>
    <row r="93" spans="1:9" x14ac:dyDescent="0.35">
      <c r="A93">
        <f t="shared" si="2"/>
        <v>2025</v>
      </c>
      <c r="B93">
        <f t="shared" si="3"/>
        <v>9</v>
      </c>
      <c r="C93" s="4">
        <v>45929</v>
      </c>
      <c r="D93">
        <v>29.6</v>
      </c>
      <c r="E93">
        <v>84</v>
      </c>
      <c r="H93">
        <v>6</v>
      </c>
    </row>
    <row r="94" spans="1:9" x14ac:dyDescent="0.35">
      <c r="A94">
        <f t="shared" si="2"/>
        <v>2025</v>
      </c>
      <c r="B94">
        <f t="shared" si="3"/>
        <v>9</v>
      </c>
      <c r="C94" s="4">
        <v>45930</v>
      </c>
      <c r="D94">
        <v>30</v>
      </c>
      <c r="E94">
        <v>78</v>
      </c>
      <c r="H94">
        <v>5.5</v>
      </c>
    </row>
    <row r="95" spans="1:9" x14ac:dyDescent="0.35">
      <c r="A95">
        <f t="shared" si="2"/>
        <v>2025</v>
      </c>
      <c r="B95">
        <f t="shared" si="3"/>
        <v>10</v>
      </c>
      <c r="C95" s="4">
        <v>45931</v>
      </c>
      <c r="D95" s="5">
        <v>30.7</v>
      </c>
      <c r="E95" s="5">
        <v>72</v>
      </c>
      <c r="F95" s="5">
        <v>1.5</v>
      </c>
      <c r="G95" s="5">
        <v>184</v>
      </c>
      <c r="I95" s="5"/>
    </row>
    <row r="96" spans="1:9" x14ac:dyDescent="0.35">
      <c r="A96">
        <f t="shared" si="2"/>
        <v>2025</v>
      </c>
      <c r="B96">
        <f t="shared" si="3"/>
        <v>10</v>
      </c>
      <c r="C96" s="4">
        <v>45932</v>
      </c>
      <c r="D96" s="5">
        <v>29.8</v>
      </c>
      <c r="E96" s="5">
        <v>71</v>
      </c>
      <c r="F96" s="5">
        <v>1.5</v>
      </c>
      <c r="G96" s="5">
        <v>138</v>
      </c>
      <c r="I96" s="5"/>
    </row>
    <row r="97" spans="1:9" x14ac:dyDescent="0.35">
      <c r="A97">
        <f t="shared" si="2"/>
        <v>2025</v>
      </c>
      <c r="B97">
        <f t="shared" si="3"/>
        <v>10</v>
      </c>
      <c r="C97" s="4">
        <v>45933</v>
      </c>
      <c r="D97" s="5">
        <v>30.1</v>
      </c>
      <c r="E97" s="5">
        <v>73</v>
      </c>
      <c r="F97" s="5">
        <v>1</v>
      </c>
      <c r="G97" s="5">
        <v>194</v>
      </c>
      <c r="I97" s="5"/>
    </row>
    <row r="98" spans="1:9" x14ac:dyDescent="0.35">
      <c r="A98">
        <f t="shared" si="2"/>
        <v>2025</v>
      </c>
      <c r="B98">
        <f t="shared" si="3"/>
        <v>10</v>
      </c>
      <c r="C98" s="4">
        <v>45934</v>
      </c>
      <c r="D98" s="5">
        <v>30.5</v>
      </c>
      <c r="E98" s="5">
        <v>78</v>
      </c>
      <c r="F98" s="5">
        <v>0.7</v>
      </c>
      <c r="G98" s="5">
        <v>187</v>
      </c>
      <c r="I98" s="5"/>
    </row>
    <row r="99" spans="1:9" x14ac:dyDescent="0.35">
      <c r="A99">
        <f t="shared" si="2"/>
        <v>2025</v>
      </c>
      <c r="B99">
        <f t="shared" si="3"/>
        <v>10</v>
      </c>
      <c r="C99" s="4">
        <v>45935</v>
      </c>
      <c r="D99" s="5">
        <v>30.6</v>
      </c>
      <c r="E99" s="5">
        <v>77</v>
      </c>
      <c r="F99" s="5">
        <v>0.8</v>
      </c>
      <c r="G99" s="5">
        <v>171</v>
      </c>
      <c r="I99" s="5"/>
    </row>
    <row r="100" spans="1:9" x14ac:dyDescent="0.35">
      <c r="A100">
        <f t="shared" si="2"/>
        <v>2025</v>
      </c>
      <c r="B100">
        <f t="shared" si="3"/>
        <v>10</v>
      </c>
      <c r="C100" s="4">
        <v>45936</v>
      </c>
      <c r="D100" s="5">
        <v>30.2</v>
      </c>
      <c r="E100" s="5">
        <v>74</v>
      </c>
      <c r="F100" s="5">
        <v>1.2</v>
      </c>
      <c r="G100" s="5">
        <v>154</v>
      </c>
      <c r="I100" s="5"/>
    </row>
    <row r="101" spans="1:9" x14ac:dyDescent="0.35">
      <c r="A101">
        <f t="shared" si="2"/>
        <v>2025</v>
      </c>
      <c r="B101">
        <f t="shared" si="3"/>
        <v>10</v>
      </c>
      <c r="C101" s="4">
        <v>45937</v>
      </c>
      <c r="D101" s="5">
        <v>30.5</v>
      </c>
      <c r="E101" s="5">
        <v>69</v>
      </c>
      <c r="F101" s="5">
        <v>1.5</v>
      </c>
      <c r="G101" s="5">
        <v>189</v>
      </c>
      <c r="I101" s="5"/>
    </row>
    <row r="102" spans="1:9" x14ac:dyDescent="0.35">
      <c r="A102">
        <f t="shared" si="2"/>
        <v>2025</v>
      </c>
      <c r="B102">
        <f t="shared" si="3"/>
        <v>10</v>
      </c>
      <c r="C102" s="4">
        <v>45938</v>
      </c>
      <c r="D102" s="5">
        <v>28.6</v>
      </c>
      <c r="E102" s="5">
        <v>83</v>
      </c>
      <c r="F102" s="5">
        <v>1.1000000000000001</v>
      </c>
      <c r="G102" s="5">
        <v>20</v>
      </c>
      <c r="I102" s="5"/>
    </row>
    <row r="103" spans="1:9" x14ac:dyDescent="0.35">
      <c r="A103">
        <f t="shared" si="2"/>
        <v>2025</v>
      </c>
      <c r="B103">
        <f t="shared" si="3"/>
        <v>10</v>
      </c>
      <c r="C103" s="4">
        <v>45939</v>
      </c>
      <c r="D103" s="5">
        <v>29.3</v>
      </c>
      <c r="E103" s="5">
        <v>75</v>
      </c>
      <c r="F103" s="5">
        <v>1.6</v>
      </c>
      <c r="G103" s="5">
        <v>26</v>
      </c>
      <c r="I103" s="5"/>
    </row>
    <row r="104" spans="1:9" x14ac:dyDescent="0.35">
      <c r="A104">
        <f t="shared" si="2"/>
        <v>2025</v>
      </c>
      <c r="B104">
        <f t="shared" si="3"/>
        <v>10</v>
      </c>
      <c r="C104" s="4">
        <v>45940</v>
      </c>
      <c r="D104" s="5">
        <v>29.9</v>
      </c>
      <c r="E104" s="5">
        <v>74</v>
      </c>
      <c r="F104" s="5">
        <v>1.1000000000000001</v>
      </c>
      <c r="G104" s="5">
        <v>177</v>
      </c>
      <c r="I104" s="5"/>
    </row>
    <row r="105" spans="1:9" x14ac:dyDescent="0.35">
      <c r="A105">
        <f t="shared" si="2"/>
        <v>2025</v>
      </c>
      <c r="B105">
        <f t="shared" si="3"/>
        <v>10</v>
      </c>
      <c r="C105" s="4">
        <v>45941</v>
      </c>
      <c r="D105" s="5">
        <v>30.2</v>
      </c>
      <c r="E105" s="5">
        <v>71</v>
      </c>
      <c r="F105" s="5">
        <v>1.3</v>
      </c>
      <c r="G105" s="5">
        <v>150</v>
      </c>
      <c r="I105" s="5"/>
    </row>
    <row r="106" spans="1:9" x14ac:dyDescent="0.35">
      <c r="A106">
        <f t="shared" si="2"/>
        <v>2025</v>
      </c>
      <c r="B106">
        <f t="shared" si="3"/>
        <v>10</v>
      </c>
      <c r="C106" s="4">
        <v>45942</v>
      </c>
      <c r="D106" s="5">
        <v>29.5</v>
      </c>
      <c r="E106" s="5">
        <v>74</v>
      </c>
      <c r="F106" s="5">
        <v>0.8</v>
      </c>
      <c r="G106" s="5">
        <v>185</v>
      </c>
      <c r="I106" s="5"/>
    </row>
    <row r="107" spans="1:9" x14ac:dyDescent="0.35">
      <c r="A107">
        <f t="shared" si="2"/>
        <v>2025</v>
      </c>
      <c r="B107">
        <f t="shared" si="3"/>
        <v>10</v>
      </c>
      <c r="C107" s="4">
        <v>45943</v>
      </c>
      <c r="D107" s="5">
        <v>29.9</v>
      </c>
      <c r="E107" s="5">
        <v>79</v>
      </c>
      <c r="F107" s="5">
        <v>0.8</v>
      </c>
      <c r="G107" s="5">
        <v>194</v>
      </c>
      <c r="I107" s="5"/>
    </row>
    <row r="108" spans="1:9" x14ac:dyDescent="0.35">
      <c r="A108">
        <f t="shared" si="2"/>
        <v>2025</v>
      </c>
      <c r="B108">
        <f t="shared" si="3"/>
        <v>10</v>
      </c>
      <c r="C108" s="4">
        <v>45944</v>
      </c>
      <c r="D108" s="5">
        <v>30.8</v>
      </c>
      <c r="E108" s="5">
        <v>71</v>
      </c>
      <c r="F108" s="5">
        <v>1.6</v>
      </c>
      <c r="G108" s="5">
        <v>171</v>
      </c>
      <c r="I108" s="5"/>
    </row>
    <row r="109" spans="1:9" x14ac:dyDescent="0.35">
      <c r="A109">
        <f t="shared" si="2"/>
        <v>2025</v>
      </c>
      <c r="B109">
        <f t="shared" si="3"/>
        <v>10</v>
      </c>
      <c r="C109" s="4">
        <v>45945</v>
      </c>
      <c r="D109" s="5">
        <v>30.1</v>
      </c>
      <c r="E109" s="5">
        <v>68</v>
      </c>
      <c r="F109" s="5">
        <v>2.2999999999999998</v>
      </c>
      <c r="G109" s="5">
        <v>141</v>
      </c>
      <c r="I109" s="5"/>
    </row>
    <row r="110" spans="1:9" x14ac:dyDescent="0.35">
      <c r="A110">
        <f t="shared" si="2"/>
        <v>2025</v>
      </c>
      <c r="B110">
        <f t="shared" si="3"/>
        <v>10</v>
      </c>
      <c r="C110" s="4">
        <v>45946</v>
      </c>
      <c r="D110" s="5">
        <v>30.3</v>
      </c>
      <c r="E110" s="5">
        <v>67</v>
      </c>
      <c r="F110" s="5">
        <v>1.6</v>
      </c>
      <c r="G110" s="5">
        <v>124</v>
      </c>
      <c r="I110" s="5"/>
    </row>
    <row r="111" spans="1:9" x14ac:dyDescent="0.35">
      <c r="A111">
        <f t="shared" si="2"/>
        <v>2025</v>
      </c>
      <c r="B111">
        <f t="shared" si="3"/>
        <v>10</v>
      </c>
      <c r="C111" s="4">
        <v>45947</v>
      </c>
      <c r="D111" s="5">
        <v>30.7</v>
      </c>
      <c r="E111" s="5">
        <v>68</v>
      </c>
      <c r="F111" s="5">
        <v>2.1</v>
      </c>
      <c r="G111" s="5">
        <v>106</v>
      </c>
      <c r="I111" s="5"/>
    </row>
    <row r="112" spans="1:9" x14ac:dyDescent="0.35">
      <c r="A112">
        <f t="shared" si="2"/>
        <v>2025</v>
      </c>
      <c r="B112">
        <f t="shared" si="3"/>
        <v>10</v>
      </c>
      <c r="C112" s="4">
        <v>45948</v>
      </c>
      <c r="D112" s="5">
        <v>30.8</v>
      </c>
      <c r="E112" s="5">
        <v>67</v>
      </c>
      <c r="F112" s="5">
        <v>2</v>
      </c>
      <c r="G112" s="5">
        <v>170</v>
      </c>
      <c r="I112" s="5"/>
    </row>
    <row r="113" spans="1:9" x14ac:dyDescent="0.35">
      <c r="A113">
        <f t="shared" si="2"/>
        <v>2025</v>
      </c>
      <c r="B113">
        <f t="shared" si="3"/>
        <v>10</v>
      </c>
      <c r="C113" s="4">
        <v>45949</v>
      </c>
      <c r="D113" s="5">
        <v>27.3</v>
      </c>
      <c r="E113" s="5">
        <v>85</v>
      </c>
      <c r="F113" s="5">
        <v>0.9</v>
      </c>
      <c r="G113" s="5">
        <v>165</v>
      </c>
      <c r="I113" s="5">
        <v>65.5</v>
      </c>
    </row>
    <row r="114" spans="1:9" x14ac:dyDescent="0.35">
      <c r="A114">
        <f t="shared" si="2"/>
        <v>2025</v>
      </c>
      <c r="B114">
        <f t="shared" si="3"/>
        <v>10</v>
      </c>
      <c r="C114" s="4">
        <v>45950</v>
      </c>
      <c r="D114" s="5">
        <v>24</v>
      </c>
      <c r="E114" s="5">
        <v>94</v>
      </c>
      <c r="F114" s="5">
        <v>1.7</v>
      </c>
      <c r="G114" s="5">
        <v>343</v>
      </c>
      <c r="I114" s="5">
        <v>209</v>
      </c>
    </row>
    <row r="115" spans="1:9" x14ac:dyDescent="0.35">
      <c r="A115">
        <f t="shared" si="2"/>
        <v>2025</v>
      </c>
      <c r="B115">
        <f t="shared" si="3"/>
        <v>10</v>
      </c>
      <c r="C115" s="4">
        <v>45951</v>
      </c>
      <c r="D115" s="5">
        <v>22</v>
      </c>
      <c r="E115" s="5">
        <v>93</v>
      </c>
      <c r="F115" s="5">
        <v>0.9</v>
      </c>
      <c r="G115" s="5">
        <v>326</v>
      </c>
      <c r="I115" s="5">
        <v>131</v>
      </c>
    </row>
    <row r="116" spans="1:9" x14ac:dyDescent="0.35">
      <c r="A116">
        <f t="shared" si="2"/>
        <v>2025</v>
      </c>
      <c r="B116">
        <f t="shared" si="3"/>
        <v>10</v>
      </c>
      <c r="C116" s="4">
        <v>45952</v>
      </c>
      <c r="D116" s="5">
        <v>22.3</v>
      </c>
      <c r="E116" s="5">
        <v>93</v>
      </c>
      <c r="F116" s="5">
        <v>1.5</v>
      </c>
      <c r="G116" s="5">
        <v>332</v>
      </c>
      <c r="I116" s="5">
        <v>165.5</v>
      </c>
    </row>
    <row r="117" spans="1:9" x14ac:dyDescent="0.35">
      <c r="A117">
        <f t="shared" si="2"/>
        <v>2025</v>
      </c>
      <c r="B117">
        <f t="shared" si="3"/>
        <v>10</v>
      </c>
      <c r="C117" s="4">
        <v>45953</v>
      </c>
      <c r="D117" s="5">
        <v>22.3</v>
      </c>
      <c r="E117" s="5">
        <v>93</v>
      </c>
      <c r="F117" s="5">
        <v>0.2</v>
      </c>
      <c r="G117" s="5">
        <v>0</v>
      </c>
      <c r="I117" s="5">
        <v>56.5</v>
      </c>
    </row>
    <row r="118" spans="1:9" x14ac:dyDescent="0.35">
      <c r="A118">
        <f t="shared" si="2"/>
        <v>2025</v>
      </c>
      <c r="B118">
        <f t="shared" si="3"/>
        <v>10</v>
      </c>
      <c r="C118" s="4">
        <v>45954</v>
      </c>
      <c r="D118" s="5">
        <v>22</v>
      </c>
      <c r="E118" s="5">
        <v>93</v>
      </c>
      <c r="F118" s="5">
        <v>0.1</v>
      </c>
      <c r="G118" s="5">
        <v>0</v>
      </c>
      <c r="I118" s="5">
        <v>99.5</v>
      </c>
    </row>
    <row r="119" spans="1:9" x14ac:dyDescent="0.35">
      <c r="A119">
        <f t="shared" si="2"/>
        <v>2025</v>
      </c>
      <c r="B119">
        <f t="shared" si="3"/>
        <v>10</v>
      </c>
      <c r="C119" s="4">
        <v>45955</v>
      </c>
      <c r="D119" s="5">
        <v>23</v>
      </c>
      <c r="E119" s="5">
        <v>94</v>
      </c>
      <c r="F119" s="5">
        <v>0.1</v>
      </c>
      <c r="G119" s="5">
        <v>0</v>
      </c>
      <c r="I119" s="5">
        <v>31.5</v>
      </c>
    </row>
    <row r="120" spans="1:9" x14ac:dyDescent="0.35">
      <c r="A120">
        <f t="shared" si="2"/>
        <v>2025</v>
      </c>
      <c r="B120">
        <f t="shared" si="3"/>
        <v>10</v>
      </c>
      <c r="C120" s="4">
        <v>45956</v>
      </c>
      <c r="D120" s="5">
        <v>22.2</v>
      </c>
      <c r="E120" s="5">
        <v>94</v>
      </c>
      <c r="F120" s="5">
        <v>0.1</v>
      </c>
      <c r="G120" s="5">
        <v>0</v>
      </c>
      <c r="I120" s="5">
        <v>11.5</v>
      </c>
    </row>
    <row r="121" spans="1:9" x14ac:dyDescent="0.35">
      <c r="A121">
        <f t="shared" si="2"/>
        <v>2025</v>
      </c>
      <c r="B121">
        <f t="shared" si="3"/>
        <v>10</v>
      </c>
      <c r="C121" s="4">
        <v>45957</v>
      </c>
      <c r="D121" s="5">
        <v>21.2</v>
      </c>
      <c r="E121" s="5">
        <v>92</v>
      </c>
      <c r="F121" s="5">
        <v>0.3</v>
      </c>
      <c r="G121" s="5">
        <v>195</v>
      </c>
      <c r="I121" s="5">
        <v>16</v>
      </c>
    </row>
    <row r="122" spans="1:9" x14ac:dyDescent="0.35">
      <c r="A122">
        <f t="shared" si="2"/>
        <v>2025</v>
      </c>
      <c r="B122">
        <f t="shared" si="3"/>
        <v>10</v>
      </c>
      <c r="C122" s="4">
        <v>45958</v>
      </c>
      <c r="D122" s="5">
        <v>21.3</v>
      </c>
      <c r="E122" s="5">
        <v>93</v>
      </c>
      <c r="F122" s="5">
        <v>0.2</v>
      </c>
      <c r="G122" s="5">
        <v>0</v>
      </c>
      <c r="I122" s="5">
        <v>48</v>
      </c>
    </row>
    <row r="123" spans="1:9" x14ac:dyDescent="0.35">
      <c r="A123">
        <f t="shared" si="2"/>
        <v>2025</v>
      </c>
      <c r="B123">
        <f t="shared" si="3"/>
        <v>10</v>
      </c>
      <c r="C123" s="4">
        <v>45959</v>
      </c>
      <c r="D123" s="5">
        <v>22.7</v>
      </c>
      <c r="E123" s="5">
        <v>88</v>
      </c>
      <c r="F123" s="5">
        <v>1.5</v>
      </c>
      <c r="G123" s="5">
        <v>202</v>
      </c>
      <c r="I123" s="5">
        <v>1</v>
      </c>
    </row>
    <row r="124" spans="1:9" x14ac:dyDescent="0.35">
      <c r="A124">
        <f t="shared" si="2"/>
        <v>2025</v>
      </c>
      <c r="B124">
        <f t="shared" si="3"/>
        <v>10</v>
      </c>
      <c r="C124" s="4">
        <v>45960</v>
      </c>
      <c r="D124" s="5">
        <v>26.7</v>
      </c>
      <c r="E124" s="5">
        <v>85</v>
      </c>
      <c r="F124" s="5">
        <v>1.1000000000000001</v>
      </c>
      <c r="G124" s="5">
        <v>198</v>
      </c>
      <c r="I124" s="5"/>
    </row>
    <row r="125" spans="1:9" x14ac:dyDescent="0.35">
      <c r="A125">
        <f t="shared" si="2"/>
        <v>2025</v>
      </c>
      <c r="B125">
        <f t="shared" si="3"/>
        <v>10</v>
      </c>
      <c r="C125" s="4">
        <v>45961</v>
      </c>
      <c r="D125" s="5">
        <v>22.7</v>
      </c>
      <c r="E125" s="5">
        <v>95</v>
      </c>
      <c r="F125" s="5">
        <v>0.4</v>
      </c>
      <c r="G125" s="5">
        <v>333</v>
      </c>
      <c r="I125" s="5">
        <v>1.5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7FC2-99AD-4226-9381-F2B0B1F221AB}">
  <sheetPr codeName="Worksheet___4"/>
  <dimension ref="A1:I125"/>
  <sheetViews>
    <sheetView workbookViewId="0">
      <pane ySplit="1" topLeftCell="A2" activePane="bottomLeft" state="frozen"/>
      <selection pane="bottomLeft" activeCell="L4" sqref="L4"/>
    </sheetView>
  </sheetViews>
  <sheetFormatPr defaultRowHeight="14.5" x14ac:dyDescent="0.35"/>
  <cols>
    <col min="1" max="1" width="12.54296875" customWidth="1"/>
    <col min="3" max="3" width="12" customWidth="1"/>
  </cols>
  <sheetData>
    <row r="1" spans="1:9" x14ac:dyDescent="0.35">
      <c r="A1" t="s">
        <v>20</v>
      </c>
      <c r="B1" t="s">
        <v>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35">
      <c r="A2" t="s">
        <v>20</v>
      </c>
      <c r="B2" t="s">
        <v>21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35">
      <c r="A3">
        <f>YEAR(C3)</f>
        <v>2025</v>
      </c>
      <c r="B3">
        <f>MONTH(C3)</f>
        <v>7</v>
      </c>
      <c r="C3" s="4">
        <v>45839</v>
      </c>
      <c r="D3">
        <v>31.7</v>
      </c>
      <c r="E3">
        <v>70</v>
      </c>
      <c r="F3">
        <v>2</v>
      </c>
      <c r="G3">
        <v>135</v>
      </c>
      <c r="H3">
        <v>9.9</v>
      </c>
      <c r="I3">
        <v>0</v>
      </c>
    </row>
    <row r="4" spans="1:9" x14ac:dyDescent="0.35">
      <c r="A4">
        <f t="shared" ref="A4:A67" si="0">YEAR(C4)</f>
        <v>2025</v>
      </c>
      <c r="B4">
        <f t="shared" ref="B4:B67" si="1">MONTH(C4)</f>
        <v>7</v>
      </c>
      <c r="C4" s="4">
        <v>45840</v>
      </c>
      <c r="D4">
        <v>31.8</v>
      </c>
      <c r="E4">
        <v>68</v>
      </c>
      <c r="F4">
        <v>1.7</v>
      </c>
      <c r="G4">
        <v>214</v>
      </c>
      <c r="H4">
        <v>10.4</v>
      </c>
      <c r="I4">
        <v>0</v>
      </c>
    </row>
    <row r="5" spans="1:9" x14ac:dyDescent="0.35">
      <c r="A5">
        <f t="shared" si="0"/>
        <v>2025</v>
      </c>
      <c r="B5">
        <f t="shared" si="1"/>
        <v>7</v>
      </c>
      <c r="C5" s="4">
        <v>45841</v>
      </c>
      <c r="D5">
        <v>32</v>
      </c>
      <c r="E5">
        <v>67</v>
      </c>
      <c r="F5">
        <v>1.6</v>
      </c>
      <c r="G5">
        <v>144</v>
      </c>
      <c r="H5" t="s">
        <v>14</v>
      </c>
      <c r="I5">
        <v>0</v>
      </c>
    </row>
    <row r="6" spans="1:9" x14ac:dyDescent="0.35">
      <c r="A6">
        <f t="shared" si="0"/>
        <v>2025</v>
      </c>
      <c r="B6">
        <f t="shared" si="1"/>
        <v>7</v>
      </c>
      <c r="C6" s="4">
        <v>45842</v>
      </c>
      <c r="D6">
        <v>32.1</v>
      </c>
      <c r="E6">
        <v>67</v>
      </c>
      <c r="F6">
        <v>1.6</v>
      </c>
      <c r="G6">
        <v>140</v>
      </c>
      <c r="H6">
        <v>8.8000000000000007</v>
      </c>
      <c r="I6">
        <v>0</v>
      </c>
    </row>
    <row r="7" spans="1:9" x14ac:dyDescent="0.35">
      <c r="A7">
        <f t="shared" si="0"/>
        <v>2025</v>
      </c>
      <c r="B7">
        <f t="shared" si="1"/>
        <v>7</v>
      </c>
      <c r="C7" s="4">
        <v>45843</v>
      </c>
      <c r="D7">
        <v>30.2</v>
      </c>
      <c r="E7">
        <v>79</v>
      </c>
      <c r="F7">
        <v>0.6</v>
      </c>
      <c r="G7">
        <v>200</v>
      </c>
      <c r="H7">
        <v>5.5</v>
      </c>
      <c r="I7">
        <v>0</v>
      </c>
    </row>
    <row r="8" spans="1:9" x14ac:dyDescent="0.35">
      <c r="A8">
        <f t="shared" si="0"/>
        <v>2025</v>
      </c>
      <c r="B8">
        <f t="shared" si="1"/>
        <v>7</v>
      </c>
      <c r="C8" s="4">
        <v>45844</v>
      </c>
      <c r="D8">
        <v>28.7</v>
      </c>
      <c r="E8">
        <v>78</v>
      </c>
      <c r="F8">
        <v>1.9</v>
      </c>
      <c r="G8">
        <v>134</v>
      </c>
      <c r="H8">
        <v>13.2</v>
      </c>
      <c r="I8">
        <v>1</v>
      </c>
    </row>
    <row r="9" spans="1:9" x14ac:dyDescent="0.35">
      <c r="A9">
        <f t="shared" si="0"/>
        <v>2025</v>
      </c>
      <c r="B9">
        <f t="shared" si="1"/>
        <v>7</v>
      </c>
      <c r="C9" s="4">
        <v>45845</v>
      </c>
      <c r="D9">
        <v>27.3</v>
      </c>
      <c r="E9">
        <v>92</v>
      </c>
      <c r="F9">
        <v>0.8</v>
      </c>
      <c r="G9">
        <v>158</v>
      </c>
      <c r="H9">
        <v>12.6</v>
      </c>
      <c r="I9">
        <v>10</v>
      </c>
    </row>
    <row r="10" spans="1:9" x14ac:dyDescent="0.35">
      <c r="A10">
        <f t="shared" si="0"/>
        <v>2025</v>
      </c>
      <c r="B10">
        <f t="shared" si="1"/>
        <v>7</v>
      </c>
      <c r="C10" s="4">
        <v>45846</v>
      </c>
      <c r="D10">
        <v>29.4</v>
      </c>
      <c r="E10">
        <v>85</v>
      </c>
      <c r="F10">
        <v>0.9</v>
      </c>
      <c r="G10">
        <v>171</v>
      </c>
      <c r="H10">
        <v>6</v>
      </c>
      <c r="I10">
        <v>1.5</v>
      </c>
    </row>
    <row r="11" spans="1:9" x14ac:dyDescent="0.35">
      <c r="A11">
        <f t="shared" si="0"/>
        <v>2025</v>
      </c>
      <c r="B11">
        <f t="shared" si="1"/>
        <v>7</v>
      </c>
      <c r="C11" s="4">
        <v>45847</v>
      </c>
      <c r="D11">
        <v>25.5</v>
      </c>
      <c r="E11">
        <v>94</v>
      </c>
      <c r="F11">
        <v>0.8</v>
      </c>
      <c r="G11">
        <v>175</v>
      </c>
      <c r="H11">
        <v>6.6</v>
      </c>
      <c r="I11">
        <v>11.5</v>
      </c>
    </row>
    <row r="12" spans="1:9" x14ac:dyDescent="0.35">
      <c r="A12">
        <f t="shared" si="0"/>
        <v>2025</v>
      </c>
      <c r="B12">
        <f t="shared" si="1"/>
        <v>7</v>
      </c>
      <c r="C12" s="4">
        <v>45848</v>
      </c>
      <c r="D12">
        <v>25.9</v>
      </c>
      <c r="E12">
        <v>95</v>
      </c>
      <c r="F12">
        <v>0.3</v>
      </c>
      <c r="G12">
        <v>198</v>
      </c>
      <c r="H12">
        <v>6</v>
      </c>
      <c r="I12">
        <v>4.5</v>
      </c>
    </row>
    <row r="13" spans="1:9" x14ac:dyDescent="0.35">
      <c r="A13">
        <f t="shared" si="0"/>
        <v>2025</v>
      </c>
      <c r="B13">
        <f t="shared" si="1"/>
        <v>7</v>
      </c>
      <c r="C13" s="4">
        <v>45849</v>
      </c>
      <c r="D13">
        <v>27.6</v>
      </c>
      <c r="E13">
        <v>92</v>
      </c>
      <c r="F13">
        <v>0.3</v>
      </c>
      <c r="G13">
        <v>182</v>
      </c>
      <c r="H13">
        <v>3.5</v>
      </c>
      <c r="I13">
        <v>0.5</v>
      </c>
    </row>
    <row r="14" spans="1:9" x14ac:dyDescent="0.35">
      <c r="A14">
        <f t="shared" si="0"/>
        <v>2025</v>
      </c>
      <c r="B14">
        <f t="shared" si="1"/>
        <v>7</v>
      </c>
      <c r="C14" s="4">
        <v>45850</v>
      </c>
      <c r="D14">
        <v>29.2</v>
      </c>
      <c r="E14">
        <v>84</v>
      </c>
      <c r="F14">
        <v>0.9</v>
      </c>
      <c r="G14">
        <v>22</v>
      </c>
      <c r="H14">
        <v>5.5</v>
      </c>
      <c r="I14">
        <v>32</v>
      </c>
    </row>
    <row r="15" spans="1:9" x14ac:dyDescent="0.35">
      <c r="A15">
        <f t="shared" si="0"/>
        <v>2025</v>
      </c>
      <c r="B15">
        <f t="shared" si="1"/>
        <v>7</v>
      </c>
      <c r="C15" s="4">
        <v>45851</v>
      </c>
      <c r="D15">
        <v>30.6</v>
      </c>
      <c r="E15">
        <v>84</v>
      </c>
      <c r="F15">
        <v>0.4</v>
      </c>
      <c r="G15">
        <v>45</v>
      </c>
      <c r="H15">
        <v>6.6</v>
      </c>
      <c r="I15">
        <v>0</v>
      </c>
    </row>
    <row r="16" spans="1:9" x14ac:dyDescent="0.35">
      <c r="A16">
        <f t="shared" si="0"/>
        <v>2025</v>
      </c>
      <c r="B16">
        <f t="shared" si="1"/>
        <v>7</v>
      </c>
      <c r="C16" s="4">
        <v>45852</v>
      </c>
      <c r="D16">
        <v>30.1</v>
      </c>
      <c r="E16">
        <v>84</v>
      </c>
      <c r="F16">
        <v>1.5</v>
      </c>
      <c r="G16">
        <v>26</v>
      </c>
      <c r="H16">
        <v>7.1</v>
      </c>
      <c r="I16">
        <v>0</v>
      </c>
    </row>
    <row r="17" spans="1:9" x14ac:dyDescent="0.35">
      <c r="A17">
        <f t="shared" si="0"/>
        <v>2025</v>
      </c>
      <c r="B17">
        <f t="shared" si="1"/>
        <v>7</v>
      </c>
      <c r="C17" s="4">
        <v>45853</v>
      </c>
      <c r="D17">
        <v>31.9</v>
      </c>
      <c r="E17">
        <v>77</v>
      </c>
      <c r="F17">
        <v>0.9</v>
      </c>
      <c r="G17">
        <v>24</v>
      </c>
      <c r="H17">
        <v>8.8000000000000007</v>
      </c>
      <c r="I17">
        <v>0</v>
      </c>
    </row>
    <row r="18" spans="1:9" x14ac:dyDescent="0.35">
      <c r="A18">
        <f t="shared" si="0"/>
        <v>2025</v>
      </c>
      <c r="B18">
        <f t="shared" si="1"/>
        <v>7</v>
      </c>
      <c r="C18" s="4">
        <v>45854</v>
      </c>
      <c r="D18">
        <v>30.2</v>
      </c>
      <c r="E18">
        <v>86</v>
      </c>
      <c r="F18">
        <v>0.9</v>
      </c>
      <c r="G18">
        <v>181</v>
      </c>
      <c r="H18">
        <v>7.7</v>
      </c>
      <c r="I18">
        <v>5.5</v>
      </c>
    </row>
    <row r="19" spans="1:9" x14ac:dyDescent="0.35">
      <c r="A19">
        <f t="shared" si="0"/>
        <v>2025</v>
      </c>
      <c r="B19">
        <f t="shared" si="1"/>
        <v>7</v>
      </c>
      <c r="C19" s="4">
        <v>45855</v>
      </c>
      <c r="D19">
        <v>30.5</v>
      </c>
      <c r="E19">
        <v>85</v>
      </c>
      <c r="F19">
        <v>0.5</v>
      </c>
      <c r="G19">
        <v>177</v>
      </c>
      <c r="H19">
        <v>5.5</v>
      </c>
      <c r="I19">
        <v>0</v>
      </c>
    </row>
    <row r="20" spans="1:9" x14ac:dyDescent="0.35">
      <c r="A20">
        <f t="shared" si="0"/>
        <v>2025</v>
      </c>
      <c r="B20">
        <f t="shared" si="1"/>
        <v>7</v>
      </c>
      <c r="C20" s="4">
        <v>45856</v>
      </c>
      <c r="D20">
        <v>29.9</v>
      </c>
      <c r="E20">
        <v>81</v>
      </c>
      <c r="F20">
        <v>2.4</v>
      </c>
      <c r="G20">
        <v>157</v>
      </c>
      <c r="H20">
        <v>15.4</v>
      </c>
      <c r="I20">
        <v>4</v>
      </c>
    </row>
    <row r="21" spans="1:9" x14ac:dyDescent="0.35">
      <c r="A21">
        <f t="shared" si="0"/>
        <v>2025</v>
      </c>
      <c r="B21">
        <f t="shared" si="1"/>
        <v>7</v>
      </c>
      <c r="C21" s="4">
        <v>45857</v>
      </c>
      <c r="D21">
        <v>29.6</v>
      </c>
      <c r="E21">
        <v>83</v>
      </c>
      <c r="F21">
        <v>3.9</v>
      </c>
      <c r="G21">
        <v>155</v>
      </c>
      <c r="H21">
        <v>22</v>
      </c>
      <c r="I21">
        <v>74</v>
      </c>
    </row>
    <row r="22" spans="1:9" x14ac:dyDescent="0.35">
      <c r="A22">
        <f t="shared" si="0"/>
        <v>2025</v>
      </c>
      <c r="B22">
        <f t="shared" si="1"/>
        <v>7</v>
      </c>
      <c r="C22" s="4">
        <v>45858</v>
      </c>
      <c r="D22">
        <v>29.3</v>
      </c>
      <c r="E22">
        <v>84</v>
      </c>
      <c r="F22">
        <v>1.7</v>
      </c>
      <c r="G22">
        <v>156</v>
      </c>
      <c r="H22">
        <v>12.1</v>
      </c>
      <c r="I22">
        <v>2</v>
      </c>
    </row>
    <row r="23" spans="1:9" x14ac:dyDescent="0.35">
      <c r="A23">
        <f t="shared" si="0"/>
        <v>2025</v>
      </c>
      <c r="B23">
        <f t="shared" si="1"/>
        <v>7</v>
      </c>
      <c r="C23" s="4">
        <v>45859</v>
      </c>
      <c r="D23">
        <v>28.2</v>
      </c>
      <c r="E23">
        <v>88</v>
      </c>
      <c r="F23">
        <v>1</v>
      </c>
      <c r="G23">
        <v>146</v>
      </c>
      <c r="H23">
        <v>11</v>
      </c>
      <c r="I23">
        <v>18</v>
      </c>
    </row>
    <row r="24" spans="1:9" x14ac:dyDescent="0.35">
      <c r="A24">
        <f t="shared" si="0"/>
        <v>2025</v>
      </c>
      <c r="B24">
        <f t="shared" si="1"/>
        <v>7</v>
      </c>
      <c r="C24" s="4">
        <v>45860</v>
      </c>
      <c r="D24">
        <v>30.2</v>
      </c>
      <c r="E24">
        <v>75</v>
      </c>
      <c r="F24">
        <v>2.2999999999999998</v>
      </c>
      <c r="G24">
        <v>163</v>
      </c>
      <c r="H24">
        <v>11</v>
      </c>
      <c r="I24">
        <v>0</v>
      </c>
    </row>
    <row r="25" spans="1:9" x14ac:dyDescent="0.35">
      <c r="A25">
        <f t="shared" si="0"/>
        <v>2025</v>
      </c>
      <c r="B25">
        <f t="shared" si="1"/>
        <v>7</v>
      </c>
      <c r="C25" s="4">
        <v>45861</v>
      </c>
      <c r="D25">
        <v>30.7</v>
      </c>
      <c r="E25">
        <v>75</v>
      </c>
      <c r="F25">
        <v>1.5</v>
      </c>
      <c r="G25">
        <v>150</v>
      </c>
      <c r="H25">
        <v>9.3000000000000007</v>
      </c>
      <c r="I25">
        <v>8</v>
      </c>
    </row>
    <row r="26" spans="1:9" x14ac:dyDescent="0.35">
      <c r="A26">
        <f t="shared" si="0"/>
        <v>2025</v>
      </c>
      <c r="B26">
        <f t="shared" si="1"/>
        <v>7</v>
      </c>
      <c r="C26" s="4">
        <v>45862</v>
      </c>
      <c r="D26">
        <v>28.2</v>
      </c>
      <c r="E26">
        <v>91</v>
      </c>
      <c r="F26">
        <v>0.5</v>
      </c>
      <c r="G26">
        <v>349</v>
      </c>
      <c r="H26">
        <v>8.1999999999999993</v>
      </c>
      <c r="I26">
        <v>15</v>
      </c>
    </row>
    <row r="27" spans="1:9" x14ac:dyDescent="0.35">
      <c r="A27">
        <f t="shared" si="0"/>
        <v>2025</v>
      </c>
      <c r="B27">
        <f t="shared" si="1"/>
        <v>7</v>
      </c>
      <c r="C27" s="4">
        <v>45863</v>
      </c>
      <c r="D27">
        <v>27.7</v>
      </c>
      <c r="E27">
        <v>93</v>
      </c>
      <c r="F27">
        <v>0.3</v>
      </c>
      <c r="G27">
        <v>35</v>
      </c>
      <c r="H27">
        <v>6</v>
      </c>
      <c r="I27">
        <v>44.5</v>
      </c>
    </row>
    <row r="28" spans="1:9" x14ac:dyDescent="0.35">
      <c r="A28">
        <f t="shared" si="0"/>
        <v>2025</v>
      </c>
      <c r="B28">
        <f t="shared" si="1"/>
        <v>7</v>
      </c>
      <c r="C28" s="4">
        <v>45864</v>
      </c>
      <c r="D28">
        <v>29.9</v>
      </c>
      <c r="E28">
        <v>89</v>
      </c>
      <c r="F28">
        <v>0.1</v>
      </c>
      <c r="G28">
        <v>0</v>
      </c>
      <c r="H28">
        <v>4.9000000000000004</v>
      </c>
      <c r="I28">
        <v>3</v>
      </c>
    </row>
    <row r="29" spans="1:9" x14ac:dyDescent="0.35">
      <c r="A29">
        <f t="shared" si="0"/>
        <v>2025</v>
      </c>
      <c r="B29">
        <f t="shared" si="1"/>
        <v>7</v>
      </c>
      <c r="C29" s="4">
        <v>45865</v>
      </c>
      <c r="D29">
        <v>29.7</v>
      </c>
      <c r="E29">
        <v>89</v>
      </c>
      <c r="F29">
        <v>0.4</v>
      </c>
      <c r="G29">
        <v>28</v>
      </c>
      <c r="H29">
        <v>5.5</v>
      </c>
      <c r="I29">
        <v>2</v>
      </c>
    </row>
    <row r="30" spans="1:9" x14ac:dyDescent="0.35">
      <c r="A30">
        <f t="shared" si="0"/>
        <v>2025</v>
      </c>
      <c r="B30">
        <f t="shared" si="1"/>
        <v>7</v>
      </c>
      <c r="C30" s="4">
        <v>45866</v>
      </c>
      <c r="D30">
        <v>29.1</v>
      </c>
      <c r="E30">
        <v>90</v>
      </c>
      <c r="F30">
        <v>1</v>
      </c>
      <c r="G30">
        <v>24</v>
      </c>
      <c r="H30">
        <v>8.1999999999999993</v>
      </c>
      <c r="I30">
        <v>5.5</v>
      </c>
    </row>
    <row r="31" spans="1:9" x14ac:dyDescent="0.35">
      <c r="A31">
        <f t="shared" si="0"/>
        <v>2025</v>
      </c>
      <c r="B31">
        <f t="shared" si="1"/>
        <v>7</v>
      </c>
      <c r="C31" s="4">
        <v>45867</v>
      </c>
      <c r="D31">
        <v>28.9</v>
      </c>
      <c r="E31">
        <v>87</v>
      </c>
      <c r="F31">
        <v>0.9</v>
      </c>
      <c r="G31">
        <v>20</v>
      </c>
      <c r="H31">
        <v>9.3000000000000007</v>
      </c>
      <c r="I31">
        <v>31</v>
      </c>
    </row>
    <row r="32" spans="1:9" x14ac:dyDescent="0.35">
      <c r="A32">
        <f t="shared" si="0"/>
        <v>2025</v>
      </c>
      <c r="B32">
        <f t="shared" si="1"/>
        <v>7</v>
      </c>
      <c r="C32" s="4">
        <v>45868</v>
      </c>
      <c r="D32">
        <v>31</v>
      </c>
      <c r="E32">
        <v>81</v>
      </c>
      <c r="F32">
        <v>0.7</v>
      </c>
      <c r="G32">
        <v>316</v>
      </c>
      <c r="H32">
        <v>8.1999999999999993</v>
      </c>
      <c r="I32">
        <v>0</v>
      </c>
    </row>
    <row r="33" spans="1:9" x14ac:dyDescent="0.35">
      <c r="A33">
        <f t="shared" si="0"/>
        <v>2025</v>
      </c>
      <c r="B33">
        <f t="shared" si="1"/>
        <v>7</v>
      </c>
      <c r="C33" s="4">
        <v>45869</v>
      </c>
      <c r="D33">
        <v>31</v>
      </c>
      <c r="E33">
        <v>80</v>
      </c>
      <c r="F33">
        <v>0.9</v>
      </c>
      <c r="G33">
        <v>175</v>
      </c>
      <c r="H33">
        <v>8.1999999999999993</v>
      </c>
      <c r="I33">
        <v>0</v>
      </c>
    </row>
    <row r="34" spans="1:9" x14ac:dyDescent="0.35">
      <c r="A34">
        <f t="shared" si="0"/>
        <v>2025</v>
      </c>
      <c r="B34">
        <f t="shared" si="1"/>
        <v>8</v>
      </c>
      <c r="C34" s="4">
        <v>45870</v>
      </c>
      <c r="D34">
        <v>29.8</v>
      </c>
      <c r="E34">
        <v>86</v>
      </c>
      <c r="F34">
        <v>0.5</v>
      </c>
      <c r="G34">
        <v>180</v>
      </c>
      <c r="H34">
        <v>4.0999999999999996</v>
      </c>
      <c r="I34">
        <v>4</v>
      </c>
    </row>
    <row r="35" spans="1:9" x14ac:dyDescent="0.35">
      <c r="A35">
        <f t="shared" si="0"/>
        <v>2025</v>
      </c>
      <c r="B35">
        <f t="shared" si="1"/>
        <v>8</v>
      </c>
      <c r="C35" s="4">
        <v>45871</v>
      </c>
      <c r="D35">
        <v>29.5</v>
      </c>
      <c r="E35">
        <v>87</v>
      </c>
      <c r="F35">
        <v>0.4</v>
      </c>
      <c r="G35">
        <v>202</v>
      </c>
      <c r="H35">
        <v>7.7</v>
      </c>
      <c r="I35">
        <v>17.5</v>
      </c>
    </row>
    <row r="36" spans="1:9" x14ac:dyDescent="0.35">
      <c r="A36">
        <f t="shared" si="0"/>
        <v>2025</v>
      </c>
      <c r="B36">
        <f t="shared" si="1"/>
        <v>8</v>
      </c>
      <c r="C36" s="4">
        <v>45872</v>
      </c>
      <c r="D36">
        <v>29.2</v>
      </c>
      <c r="E36">
        <v>89</v>
      </c>
      <c r="F36">
        <v>1.1000000000000001</v>
      </c>
      <c r="G36">
        <v>176</v>
      </c>
      <c r="H36">
        <v>7.1</v>
      </c>
      <c r="I36">
        <v>2</v>
      </c>
    </row>
    <row r="37" spans="1:9" x14ac:dyDescent="0.35">
      <c r="A37">
        <f t="shared" si="0"/>
        <v>2025</v>
      </c>
      <c r="B37">
        <f t="shared" si="1"/>
        <v>8</v>
      </c>
      <c r="C37" s="4">
        <v>45873</v>
      </c>
      <c r="D37">
        <v>29.7</v>
      </c>
      <c r="E37">
        <v>89</v>
      </c>
      <c r="F37">
        <v>0.2</v>
      </c>
      <c r="G37">
        <v>0</v>
      </c>
      <c r="H37">
        <v>4.9000000000000004</v>
      </c>
      <c r="I37">
        <v>0</v>
      </c>
    </row>
    <row r="38" spans="1:9" x14ac:dyDescent="0.35">
      <c r="A38">
        <f t="shared" si="0"/>
        <v>2025</v>
      </c>
      <c r="B38">
        <f t="shared" si="1"/>
        <v>8</v>
      </c>
      <c r="C38" s="4">
        <v>45874</v>
      </c>
      <c r="D38">
        <v>28.5</v>
      </c>
      <c r="E38">
        <v>89</v>
      </c>
      <c r="F38">
        <v>0.5</v>
      </c>
      <c r="G38">
        <v>197</v>
      </c>
      <c r="H38">
        <v>7.7</v>
      </c>
      <c r="I38">
        <v>87.5</v>
      </c>
    </row>
    <row r="39" spans="1:9" x14ac:dyDescent="0.35">
      <c r="A39">
        <f t="shared" si="0"/>
        <v>2025</v>
      </c>
      <c r="B39">
        <f t="shared" si="1"/>
        <v>8</v>
      </c>
      <c r="C39" s="4">
        <v>45875</v>
      </c>
      <c r="D39">
        <v>29.4</v>
      </c>
      <c r="E39">
        <v>89</v>
      </c>
      <c r="F39">
        <v>0.3</v>
      </c>
      <c r="G39">
        <v>355</v>
      </c>
      <c r="H39" t="s">
        <v>14</v>
      </c>
      <c r="I39">
        <v>0.5</v>
      </c>
    </row>
    <row r="40" spans="1:9" x14ac:dyDescent="0.35">
      <c r="A40">
        <f t="shared" si="0"/>
        <v>2025</v>
      </c>
      <c r="B40">
        <f t="shared" si="1"/>
        <v>8</v>
      </c>
      <c r="C40" s="4">
        <v>45876</v>
      </c>
      <c r="D40">
        <v>30.5</v>
      </c>
      <c r="E40">
        <v>81</v>
      </c>
      <c r="F40">
        <v>0.5</v>
      </c>
      <c r="G40">
        <v>357</v>
      </c>
      <c r="H40">
        <v>6</v>
      </c>
      <c r="I40">
        <v>0</v>
      </c>
    </row>
    <row r="41" spans="1:9" x14ac:dyDescent="0.35">
      <c r="A41">
        <f t="shared" si="0"/>
        <v>2025</v>
      </c>
      <c r="B41">
        <f t="shared" si="1"/>
        <v>8</v>
      </c>
      <c r="C41" s="4">
        <v>45877</v>
      </c>
      <c r="D41">
        <v>30</v>
      </c>
      <c r="E41">
        <v>85</v>
      </c>
      <c r="F41">
        <v>0.7</v>
      </c>
      <c r="G41">
        <v>12</v>
      </c>
      <c r="H41">
        <v>6</v>
      </c>
      <c r="I41">
        <v>0</v>
      </c>
    </row>
    <row r="42" spans="1:9" x14ac:dyDescent="0.35">
      <c r="A42">
        <f t="shared" si="0"/>
        <v>2025</v>
      </c>
      <c r="B42">
        <f t="shared" si="1"/>
        <v>8</v>
      </c>
      <c r="C42" s="4">
        <v>45878</v>
      </c>
      <c r="D42">
        <v>30.1</v>
      </c>
      <c r="E42">
        <v>87</v>
      </c>
      <c r="F42">
        <v>0.5</v>
      </c>
      <c r="G42">
        <v>39</v>
      </c>
      <c r="H42" t="s">
        <v>14</v>
      </c>
      <c r="I42">
        <v>1</v>
      </c>
    </row>
    <row r="43" spans="1:9" x14ac:dyDescent="0.35">
      <c r="A43">
        <f t="shared" si="0"/>
        <v>2025</v>
      </c>
      <c r="B43">
        <f t="shared" si="1"/>
        <v>8</v>
      </c>
      <c r="C43" s="4">
        <v>45879</v>
      </c>
      <c r="D43">
        <v>29.9</v>
      </c>
      <c r="E43">
        <v>87</v>
      </c>
      <c r="F43">
        <v>0.4</v>
      </c>
      <c r="G43">
        <v>355</v>
      </c>
      <c r="H43">
        <v>6</v>
      </c>
      <c r="I43">
        <v>14</v>
      </c>
    </row>
    <row r="44" spans="1:9" x14ac:dyDescent="0.35">
      <c r="A44">
        <f t="shared" si="0"/>
        <v>2025</v>
      </c>
      <c r="B44">
        <f t="shared" si="1"/>
        <v>8</v>
      </c>
      <c r="C44" s="4">
        <v>45880</v>
      </c>
      <c r="D44">
        <v>29.4</v>
      </c>
      <c r="E44">
        <v>88</v>
      </c>
      <c r="F44">
        <v>0.4</v>
      </c>
      <c r="G44">
        <v>14</v>
      </c>
      <c r="H44">
        <v>5.5</v>
      </c>
      <c r="I44">
        <v>12</v>
      </c>
    </row>
    <row r="45" spans="1:9" x14ac:dyDescent="0.35">
      <c r="A45">
        <f t="shared" si="0"/>
        <v>2025</v>
      </c>
      <c r="B45">
        <f t="shared" si="1"/>
        <v>8</v>
      </c>
      <c r="C45" s="4">
        <v>45881</v>
      </c>
      <c r="D45">
        <v>30.5</v>
      </c>
      <c r="E45">
        <v>82</v>
      </c>
      <c r="F45">
        <v>0.8</v>
      </c>
      <c r="G45">
        <v>181</v>
      </c>
      <c r="H45">
        <v>5.5</v>
      </c>
      <c r="I45">
        <v>0</v>
      </c>
    </row>
    <row r="46" spans="1:9" x14ac:dyDescent="0.35">
      <c r="A46">
        <f t="shared" si="0"/>
        <v>2025</v>
      </c>
      <c r="B46">
        <f t="shared" si="1"/>
        <v>8</v>
      </c>
      <c r="C46" s="4">
        <v>45882</v>
      </c>
      <c r="D46">
        <v>29.6</v>
      </c>
      <c r="E46">
        <v>81</v>
      </c>
      <c r="F46">
        <v>3.5</v>
      </c>
      <c r="G46">
        <v>154</v>
      </c>
      <c r="H46">
        <v>25.3</v>
      </c>
      <c r="I46">
        <v>18.5</v>
      </c>
    </row>
    <row r="47" spans="1:9" x14ac:dyDescent="0.35">
      <c r="A47">
        <f t="shared" si="0"/>
        <v>2025</v>
      </c>
      <c r="B47">
        <f t="shared" si="1"/>
        <v>8</v>
      </c>
      <c r="C47" s="4">
        <v>45883</v>
      </c>
      <c r="D47">
        <v>30.3</v>
      </c>
      <c r="E47">
        <v>73</v>
      </c>
      <c r="F47">
        <v>2</v>
      </c>
      <c r="G47">
        <v>156</v>
      </c>
      <c r="H47" t="s">
        <v>14</v>
      </c>
      <c r="I47">
        <v>0</v>
      </c>
    </row>
    <row r="48" spans="1:9" x14ac:dyDescent="0.35">
      <c r="A48">
        <f t="shared" si="0"/>
        <v>2025</v>
      </c>
      <c r="B48">
        <f t="shared" si="1"/>
        <v>8</v>
      </c>
      <c r="C48" s="4">
        <v>45884</v>
      </c>
      <c r="D48">
        <v>31.2</v>
      </c>
      <c r="E48">
        <v>66</v>
      </c>
      <c r="F48">
        <v>2.7</v>
      </c>
      <c r="G48">
        <v>150</v>
      </c>
      <c r="H48">
        <v>13.7</v>
      </c>
      <c r="I48">
        <v>0</v>
      </c>
    </row>
    <row r="49" spans="1:9" x14ac:dyDescent="0.35">
      <c r="A49">
        <f t="shared" si="0"/>
        <v>2025</v>
      </c>
      <c r="B49">
        <f t="shared" si="1"/>
        <v>8</v>
      </c>
      <c r="C49" s="4">
        <v>45885</v>
      </c>
      <c r="D49">
        <v>30.8</v>
      </c>
      <c r="E49">
        <v>69</v>
      </c>
      <c r="F49">
        <v>2</v>
      </c>
      <c r="G49">
        <v>163</v>
      </c>
      <c r="H49" t="s">
        <v>14</v>
      </c>
      <c r="I49">
        <v>0</v>
      </c>
    </row>
    <row r="50" spans="1:9" x14ac:dyDescent="0.35">
      <c r="A50">
        <f t="shared" si="0"/>
        <v>2025</v>
      </c>
      <c r="B50">
        <f t="shared" si="1"/>
        <v>8</v>
      </c>
      <c r="C50" s="4">
        <v>45886</v>
      </c>
      <c r="D50">
        <v>31.5</v>
      </c>
      <c r="E50">
        <v>66</v>
      </c>
      <c r="F50">
        <v>1.7</v>
      </c>
      <c r="G50">
        <v>161</v>
      </c>
      <c r="H50">
        <v>11</v>
      </c>
      <c r="I50">
        <v>0</v>
      </c>
    </row>
    <row r="51" spans="1:9" x14ac:dyDescent="0.35">
      <c r="A51">
        <f t="shared" si="0"/>
        <v>2025</v>
      </c>
      <c r="B51">
        <f t="shared" si="1"/>
        <v>8</v>
      </c>
      <c r="C51" s="4">
        <v>45887</v>
      </c>
      <c r="D51">
        <v>29.6</v>
      </c>
      <c r="E51">
        <v>82</v>
      </c>
      <c r="F51">
        <v>1</v>
      </c>
      <c r="G51">
        <v>30</v>
      </c>
      <c r="H51">
        <v>6.6</v>
      </c>
      <c r="I51">
        <v>10</v>
      </c>
    </row>
    <row r="52" spans="1:9" x14ac:dyDescent="0.35">
      <c r="A52">
        <f t="shared" si="0"/>
        <v>2025</v>
      </c>
      <c r="B52">
        <f t="shared" si="1"/>
        <v>8</v>
      </c>
      <c r="C52" s="4">
        <v>45888</v>
      </c>
      <c r="D52">
        <v>29.6</v>
      </c>
      <c r="E52">
        <v>83</v>
      </c>
      <c r="F52">
        <v>0.7</v>
      </c>
      <c r="G52">
        <v>173</v>
      </c>
      <c r="H52">
        <v>7.1</v>
      </c>
      <c r="I52">
        <v>0</v>
      </c>
    </row>
    <row r="53" spans="1:9" x14ac:dyDescent="0.35">
      <c r="A53">
        <f t="shared" si="0"/>
        <v>2025</v>
      </c>
      <c r="B53">
        <f t="shared" si="1"/>
        <v>8</v>
      </c>
      <c r="C53" s="4">
        <v>45889</v>
      </c>
      <c r="D53">
        <v>28.1</v>
      </c>
      <c r="E53">
        <v>86</v>
      </c>
      <c r="F53">
        <v>0.8</v>
      </c>
      <c r="G53">
        <v>340</v>
      </c>
      <c r="H53">
        <v>8.1999999999999993</v>
      </c>
      <c r="I53">
        <v>1.5</v>
      </c>
    </row>
    <row r="54" spans="1:9" x14ac:dyDescent="0.35">
      <c r="A54">
        <f t="shared" si="0"/>
        <v>2025</v>
      </c>
      <c r="B54">
        <f t="shared" si="1"/>
        <v>8</v>
      </c>
      <c r="C54" s="4">
        <v>45890</v>
      </c>
      <c r="D54">
        <v>29.6</v>
      </c>
      <c r="E54">
        <v>75</v>
      </c>
      <c r="F54">
        <v>1.1000000000000001</v>
      </c>
      <c r="G54">
        <v>175</v>
      </c>
      <c r="H54">
        <v>6</v>
      </c>
      <c r="I54">
        <v>0</v>
      </c>
    </row>
    <row r="55" spans="1:9" x14ac:dyDescent="0.35">
      <c r="A55">
        <f t="shared" si="0"/>
        <v>2025</v>
      </c>
      <c r="B55">
        <f t="shared" si="1"/>
        <v>8</v>
      </c>
      <c r="C55" s="4">
        <v>45891</v>
      </c>
      <c r="D55">
        <v>30.8</v>
      </c>
      <c r="E55">
        <v>74</v>
      </c>
      <c r="F55">
        <v>1</v>
      </c>
      <c r="G55">
        <v>307</v>
      </c>
      <c r="H55">
        <v>6.6</v>
      </c>
      <c r="I55">
        <v>0</v>
      </c>
    </row>
    <row r="56" spans="1:9" x14ac:dyDescent="0.35">
      <c r="A56">
        <f t="shared" si="0"/>
        <v>2025</v>
      </c>
      <c r="B56">
        <f t="shared" si="1"/>
        <v>8</v>
      </c>
      <c r="C56" s="4">
        <v>45892</v>
      </c>
      <c r="D56">
        <v>31.6</v>
      </c>
      <c r="E56">
        <v>76</v>
      </c>
      <c r="F56">
        <v>0.9</v>
      </c>
      <c r="G56">
        <v>195</v>
      </c>
      <c r="H56">
        <v>5.5</v>
      </c>
      <c r="I56">
        <v>0</v>
      </c>
    </row>
    <row r="57" spans="1:9" x14ac:dyDescent="0.35">
      <c r="A57">
        <f t="shared" si="0"/>
        <v>2025</v>
      </c>
      <c r="B57">
        <f t="shared" si="1"/>
        <v>8</v>
      </c>
      <c r="C57" s="4">
        <v>45893</v>
      </c>
      <c r="D57">
        <v>31.2</v>
      </c>
      <c r="E57">
        <v>73</v>
      </c>
      <c r="F57">
        <v>1.5</v>
      </c>
      <c r="G57">
        <v>135</v>
      </c>
      <c r="H57">
        <v>11.5</v>
      </c>
      <c r="I57">
        <v>0</v>
      </c>
    </row>
    <row r="58" spans="1:9" x14ac:dyDescent="0.35">
      <c r="A58">
        <f t="shared" si="0"/>
        <v>2025</v>
      </c>
      <c r="B58">
        <f t="shared" si="1"/>
        <v>8</v>
      </c>
      <c r="C58" s="4">
        <v>45894</v>
      </c>
      <c r="D58">
        <v>31</v>
      </c>
      <c r="E58">
        <v>70</v>
      </c>
      <c r="F58">
        <v>1.8</v>
      </c>
      <c r="G58">
        <v>144</v>
      </c>
      <c r="H58">
        <v>10.4</v>
      </c>
      <c r="I58">
        <v>0</v>
      </c>
    </row>
    <row r="59" spans="1:9" x14ac:dyDescent="0.35">
      <c r="A59">
        <f t="shared" si="0"/>
        <v>2025</v>
      </c>
      <c r="B59">
        <f t="shared" si="1"/>
        <v>8</v>
      </c>
      <c r="C59" s="4">
        <v>45895</v>
      </c>
      <c r="D59">
        <v>30.7</v>
      </c>
      <c r="E59">
        <v>69</v>
      </c>
      <c r="F59">
        <v>1.7</v>
      </c>
      <c r="G59">
        <v>142</v>
      </c>
      <c r="H59">
        <v>11.5</v>
      </c>
      <c r="I59">
        <v>0</v>
      </c>
    </row>
    <row r="60" spans="1:9" x14ac:dyDescent="0.35">
      <c r="A60">
        <f t="shared" si="0"/>
        <v>2025</v>
      </c>
      <c r="B60">
        <f t="shared" si="1"/>
        <v>8</v>
      </c>
      <c r="C60" s="4">
        <v>45896</v>
      </c>
      <c r="D60">
        <v>30.7</v>
      </c>
      <c r="E60">
        <v>66</v>
      </c>
      <c r="F60">
        <v>1.9</v>
      </c>
      <c r="G60">
        <v>155</v>
      </c>
      <c r="H60">
        <v>12.1</v>
      </c>
      <c r="I60">
        <v>0</v>
      </c>
    </row>
    <row r="61" spans="1:9" x14ac:dyDescent="0.35">
      <c r="A61">
        <f t="shared" si="0"/>
        <v>2025</v>
      </c>
      <c r="B61">
        <f t="shared" si="1"/>
        <v>8</v>
      </c>
      <c r="C61" s="4">
        <v>45897</v>
      </c>
      <c r="D61">
        <v>31.5</v>
      </c>
      <c r="E61">
        <v>63</v>
      </c>
      <c r="F61">
        <v>2.5</v>
      </c>
      <c r="G61">
        <v>134</v>
      </c>
      <c r="H61">
        <v>13.2</v>
      </c>
      <c r="I61">
        <v>0</v>
      </c>
    </row>
    <row r="62" spans="1:9" x14ac:dyDescent="0.35">
      <c r="A62">
        <f t="shared" si="0"/>
        <v>2025</v>
      </c>
      <c r="B62">
        <f t="shared" si="1"/>
        <v>8</v>
      </c>
      <c r="C62" s="4">
        <v>45898</v>
      </c>
      <c r="D62">
        <v>31.7</v>
      </c>
      <c r="E62">
        <v>63</v>
      </c>
      <c r="F62">
        <v>2.2000000000000002</v>
      </c>
      <c r="G62">
        <v>140</v>
      </c>
      <c r="H62">
        <v>11</v>
      </c>
      <c r="I62">
        <v>0</v>
      </c>
    </row>
    <row r="63" spans="1:9" x14ac:dyDescent="0.35">
      <c r="A63">
        <f t="shared" si="0"/>
        <v>2025</v>
      </c>
      <c r="B63">
        <f t="shared" si="1"/>
        <v>8</v>
      </c>
      <c r="C63" s="4">
        <v>45899</v>
      </c>
      <c r="D63">
        <v>30.9</v>
      </c>
      <c r="E63">
        <v>73</v>
      </c>
      <c r="F63">
        <v>0.9</v>
      </c>
      <c r="G63">
        <v>195</v>
      </c>
      <c r="H63">
        <v>7.7</v>
      </c>
      <c r="I63">
        <v>0</v>
      </c>
    </row>
    <row r="64" spans="1:9" x14ac:dyDescent="0.35">
      <c r="A64">
        <f t="shared" si="0"/>
        <v>2025</v>
      </c>
      <c r="B64">
        <f t="shared" si="1"/>
        <v>8</v>
      </c>
      <c r="C64" s="4">
        <v>45900</v>
      </c>
      <c r="D64">
        <v>29.1</v>
      </c>
      <c r="E64">
        <v>82</v>
      </c>
      <c r="F64">
        <v>0.7</v>
      </c>
      <c r="G64">
        <v>52</v>
      </c>
      <c r="H64">
        <v>7.1</v>
      </c>
      <c r="I64">
        <v>0</v>
      </c>
    </row>
    <row r="65" spans="1:9" x14ac:dyDescent="0.35">
      <c r="A65">
        <f t="shared" si="0"/>
        <v>2025</v>
      </c>
      <c r="B65">
        <f t="shared" si="1"/>
        <v>9</v>
      </c>
      <c r="C65" s="4">
        <v>45901</v>
      </c>
      <c r="D65">
        <v>28.9</v>
      </c>
      <c r="E65">
        <v>85</v>
      </c>
      <c r="H65">
        <v>4.9000000000000004</v>
      </c>
      <c r="I65">
        <v>1</v>
      </c>
    </row>
    <row r="66" spans="1:9" x14ac:dyDescent="0.35">
      <c r="A66">
        <f t="shared" si="0"/>
        <v>2025</v>
      </c>
      <c r="B66">
        <f t="shared" si="1"/>
        <v>9</v>
      </c>
      <c r="C66" s="4">
        <v>45902</v>
      </c>
      <c r="D66">
        <v>29.6</v>
      </c>
      <c r="E66">
        <v>82</v>
      </c>
      <c r="H66">
        <v>6.6</v>
      </c>
      <c r="I66">
        <v>0</v>
      </c>
    </row>
    <row r="67" spans="1:9" x14ac:dyDescent="0.35">
      <c r="A67">
        <f t="shared" si="0"/>
        <v>2025</v>
      </c>
      <c r="B67">
        <f t="shared" si="1"/>
        <v>9</v>
      </c>
      <c r="C67" s="4">
        <v>45903</v>
      </c>
      <c r="D67">
        <v>29.1</v>
      </c>
      <c r="E67">
        <v>84</v>
      </c>
      <c r="H67">
        <v>7.1</v>
      </c>
      <c r="I67">
        <v>7</v>
      </c>
    </row>
    <row r="68" spans="1:9" x14ac:dyDescent="0.35">
      <c r="A68">
        <f t="shared" ref="A68:A125" si="2">YEAR(C68)</f>
        <v>2025</v>
      </c>
      <c r="B68">
        <f t="shared" ref="B68:B125" si="3">MONTH(C68)</f>
        <v>9</v>
      </c>
      <c r="C68" s="4">
        <v>45904</v>
      </c>
      <c r="D68">
        <v>28.6</v>
      </c>
      <c r="E68">
        <v>86</v>
      </c>
      <c r="H68">
        <v>9.9</v>
      </c>
      <c r="I68">
        <v>34.5</v>
      </c>
    </row>
    <row r="69" spans="1:9" x14ac:dyDescent="0.35">
      <c r="A69">
        <f t="shared" si="2"/>
        <v>2025</v>
      </c>
      <c r="B69">
        <f t="shared" si="3"/>
        <v>9</v>
      </c>
      <c r="C69" s="4">
        <v>45905</v>
      </c>
      <c r="D69">
        <v>30.3</v>
      </c>
      <c r="E69">
        <v>74</v>
      </c>
      <c r="H69">
        <v>8.8000000000000007</v>
      </c>
      <c r="I69">
        <v>0</v>
      </c>
    </row>
    <row r="70" spans="1:9" x14ac:dyDescent="0.35">
      <c r="A70">
        <f t="shared" si="2"/>
        <v>2025</v>
      </c>
      <c r="B70">
        <f t="shared" si="3"/>
        <v>9</v>
      </c>
      <c r="C70" s="4">
        <v>45906</v>
      </c>
      <c r="D70">
        <v>31.5</v>
      </c>
      <c r="E70">
        <v>71</v>
      </c>
      <c r="H70">
        <v>12.1</v>
      </c>
      <c r="I70">
        <v>0</v>
      </c>
    </row>
    <row r="71" spans="1:9" x14ac:dyDescent="0.35">
      <c r="A71">
        <f t="shared" si="2"/>
        <v>2025</v>
      </c>
      <c r="B71">
        <f t="shared" si="3"/>
        <v>9</v>
      </c>
      <c r="C71" s="4">
        <v>45907</v>
      </c>
      <c r="D71">
        <v>29.6</v>
      </c>
      <c r="E71">
        <v>87</v>
      </c>
      <c r="H71">
        <v>6.6</v>
      </c>
      <c r="I71">
        <v>20.5</v>
      </c>
    </row>
    <row r="72" spans="1:9" x14ac:dyDescent="0.35">
      <c r="A72">
        <f t="shared" si="2"/>
        <v>2025</v>
      </c>
      <c r="B72">
        <f t="shared" si="3"/>
        <v>9</v>
      </c>
      <c r="C72" s="4">
        <v>45908</v>
      </c>
      <c r="D72">
        <v>29.6</v>
      </c>
      <c r="E72">
        <v>84</v>
      </c>
      <c r="H72">
        <v>6.6</v>
      </c>
      <c r="I72">
        <v>0</v>
      </c>
    </row>
    <row r="73" spans="1:9" x14ac:dyDescent="0.35">
      <c r="A73">
        <f t="shared" si="2"/>
        <v>2025</v>
      </c>
      <c r="B73">
        <f t="shared" si="3"/>
        <v>9</v>
      </c>
      <c r="C73" s="4">
        <v>45909</v>
      </c>
      <c r="D73">
        <v>30.3</v>
      </c>
      <c r="E73">
        <v>81</v>
      </c>
      <c r="H73">
        <v>7.1</v>
      </c>
      <c r="I73">
        <v>0.5</v>
      </c>
    </row>
    <row r="74" spans="1:9" x14ac:dyDescent="0.35">
      <c r="A74">
        <f t="shared" si="2"/>
        <v>2025</v>
      </c>
      <c r="B74">
        <f t="shared" si="3"/>
        <v>9</v>
      </c>
      <c r="C74" s="4">
        <v>45910</v>
      </c>
      <c r="D74">
        <v>29.7</v>
      </c>
      <c r="E74">
        <v>84</v>
      </c>
      <c r="H74">
        <v>6</v>
      </c>
      <c r="I74">
        <v>0</v>
      </c>
    </row>
    <row r="75" spans="1:9" x14ac:dyDescent="0.35">
      <c r="A75">
        <f t="shared" si="2"/>
        <v>2025</v>
      </c>
      <c r="B75">
        <f t="shared" si="3"/>
        <v>9</v>
      </c>
      <c r="C75" s="4">
        <v>45911</v>
      </c>
      <c r="D75">
        <v>30.6</v>
      </c>
      <c r="E75">
        <v>75</v>
      </c>
      <c r="H75">
        <v>8.1999999999999993</v>
      </c>
      <c r="I75">
        <v>0</v>
      </c>
    </row>
    <row r="76" spans="1:9" x14ac:dyDescent="0.35">
      <c r="A76">
        <f t="shared" si="2"/>
        <v>2025</v>
      </c>
      <c r="B76">
        <f t="shared" si="3"/>
        <v>9</v>
      </c>
      <c r="C76" s="4">
        <v>45912</v>
      </c>
      <c r="D76">
        <v>29.4</v>
      </c>
      <c r="E76">
        <v>85</v>
      </c>
      <c r="H76">
        <v>6</v>
      </c>
      <c r="I76">
        <v>2.5</v>
      </c>
    </row>
    <row r="77" spans="1:9" x14ac:dyDescent="0.35">
      <c r="A77">
        <f t="shared" si="2"/>
        <v>2025</v>
      </c>
      <c r="B77">
        <f t="shared" si="3"/>
        <v>9</v>
      </c>
      <c r="C77" s="4">
        <v>45913</v>
      </c>
      <c r="D77">
        <v>30.1</v>
      </c>
      <c r="E77">
        <v>78</v>
      </c>
      <c r="H77">
        <v>6</v>
      </c>
      <c r="I77">
        <v>0</v>
      </c>
    </row>
    <row r="78" spans="1:9" x14ac:dyDescent="0.35">
      <c r="A78">
        <f t="shared" si="2"/>
        <v>2025</v>
      </c>
      <c r="B78">
        <f t="shared" si="3"/>
        <v>9</v>
      </c>
      <c r="C78" s="4">
        <v>45914</v>
      </c>
      <c r="D78">
        <v>29.7</v>
      </c>
      <c r="E78">
        <v>82</v>
      </c>
      <c r="H78">
        <v>6.6</v>
      </c>
      <c r="I78">
        <v>0</v>
      </c>
    </row>
    <row r="79" spans="1:9" x14ac:dyDescent="0.35">
      <c r="A79">
        <f t="shared" si="2"/>
        <v>2025</v>
      </c>
      <c r="B79">
        <f t="shared" si="3"/>
        <v>9</v>
      </c>
      <c r="C79" s="4">
        <v>45915</v>
      </c>
      <c r="D79">
        <v>30.6</v>
      </c>
      <c r="E79">
        <v>75</v>
      </c>
      <c r="H79">
        <v>10.4</v>
      </c>
      <c r="I79">
        <v>0</v>
      </c>
    </row>
    <row r="80" spans="1:9" x14ac:dyDescent="0.35">
      <c r="A80">
        <f t="shared" si="2"/>
        <v>2025</v>
      </c>
      <c r="B80">
        <f t="shared" si="3"/>
        <v>9</v>
      </c>
      <c r="C80" s="4">
        <v>45916</v>
      </c>
      <c r="D80">
        <v>30.9</v>
      </c>
      <c r="E80">
        <v>69</v>
      </c>
      <c r="H80">
        <v>12.1</v>
      </c>
      <c r="I80">
        <v>0</v>
      </c>
    </row>
    <row r="81" spans="1:9" x14ac:dyDescent="0.35">
      <c r="A81">
        <f t="shared" si="2"/>
        <v>2025</v>
      </c>
      <c r="B81">
        <f t="shared" si="3"/>
        <v>9</v>
      </c>
      <c r="C81" s="4">
        <v>45917</v>
      </c>
      <c r="D81">
        <v>31.3</v>
      </c>
      <c r="E81">
        <v>68</v>
      </c>
      <c r="H81">
        <v>12.1</v>
      </c>
      <c r="I81">
        <v>0</v>
      </c>
    </row>
    <row r="82" spans="1:9" x14ac:dyDescent="0.35">
      <c r="A82">
        <f t="shared" si="2"/>
        <v>2025</v>
      </c>
      <c r="B82">
        <f t="shared" si="3"/>
        <v>9</v>
      </c>
      <c r="C82" s="4">
        <v>45918</v>
      </c>
      <c r="D82">
        <v>30.5</v>
      </c>
      <c r="E82">
        <v>69</v>
      </c>
      <c r="H82">
        <v>13.7</v>
      </c>
      <c r="I82">
        <v>0</v>
      </c>
    </row>
    <row r="83" spans="1:9" x14ac:dyDescent="0.35">
      <c r="A83">
        <f t="shared" si="2"/>
        <v>2025</v>
      </c>
      <c r="B83">
        <f t="shared" si="3"/>
        <v>9</v>
      </c>
      <c r="C83" s="4">
        <v>45919</v>
      </c>
      <c r="D83">
        <v>30.8</v>
      </c>
      <c r="E83">
        <v>71</v>
      </c>
      <c r="H83">
        <v>12.6</v>
      </c>
      <c r="I83">
        <v>0</v>
      </c>
    </row>
    <row r="84" spans="1:9" x14ac:dyDescent="0.35">
      <c r="A84">
        <f t="shared" si="2"/>
        <v>2025</v>
      </c>
      <c r="B84">
        <f t="shared" si="3"/>
        <v>9</v>
      </c>
      <c r="C84" s="4">
        <v>45920</v>
      </c>
      <c r="D84">
        <v>30.1</v>
      </c>
      <c r="E84">
        <v>79</v>
      </c>
      <c r="H84" t="s">
        <v>14</v>
      </c>
      <c r="I84">
        <v>0</v>
      </c>
    </row>
    <row r="85" spans="1:9" x14ac:dyDescent="0.35">
      <c r="A85">
        <f t="shared" si="2"/>
        <v>2025</v>
      </c>
      <c r="B85">
        <f t="shared" si="3"/>
        <v>9</v>
      </c>
      <c r="C85" s="4">
        <v>45921</v>
      </c>
      <c r="D85">
        <v>29.1</v>
      </c>
      <c r="E85">
        <v>84</v>
      </c>
      <c r="H85">
        <v>9.3000000000000007</v>
      </c>
      <c r="I85">
        <v>7.5</v>
      </c>
    </row>
    <row r="86" spans="1:9" x14ac:dyDescent="0.35">
      <c r="A86">
        <f t="shared" si="2"/>
        <v>2025</v>
      </c>
      <c r="B86">
        <f t="shared" si="3"/>
        <v>9</v>
      </c>
      <c r="C86" s="4">
        <v>45922</v>
      </c>
      <c r="D86">
        <v>28.6</v>
      </c>
      <c r="E86">
        <v>88</v>
      </c>
      <c r="H86">
        <v>19.8</v>
      </c>
      <c r="I86">
        <v>71</v>
      </c>
    </row>
    <row r="87" spans="1:9" x14ac:dyDescent="0.35">
      <c r="A87">
        <f t="shared" si="2"/>
        <v>2025</v>
      </c>
      <c r="B87">
        <f t="shared" si="3"/>
        <v>9</v>
      </c>
      <c r="C87" s="4">
        <v>45923</v>
      </c>
      <c r="D87">
        <v>29.9</v>
      </c>
      <c r="E87">
        <v>80</v>
      </c>
      <c r="H87">
        <v>20.399999999999999</v>
      </c>
      <c r="I87">
        <v>31</v>
      </c>
    </row>
    <row r="88" spans="1:9" x14ac:dyDescent="0.35">
      <c r="A88">
        <f t="shared" si="2"/>
        <v>2025</v>
      </c>
      <c r="B88">
        <f t="shared" si="3"/>
        <v>9</v>
      </c>
      <c r="C88" s="4">
        <v>45924</v>
      </c>
      <c r="D88">
        <v>31.7</v>
      </c>
      <c r="E88">
        <v>66</v>
      </c>
      <c r="H88">
        <v>16.5</v>
      </c>
      <c r="I88">
        <v>39.5</v>
      </c>
    </row>
    <row r="89" spans="1:9" x14ac:dyDescent="0.35">
      <c r="A89">
        <f t="shared" si="2"/>
        <v>2025</v>
      </c>
      <c r="B89">
        <f t="shared" si="3"/>
        <v>9</v>
      </c>
      <c r="C89" s="4">
        <v>45925</v>
      </c>
      <c r="D89">
        <v>30.2</v>
      </c>
      <c r="E89">
        <v>69</v>
      </c>
      <c r="H89">
        <v>12.6</v>
      </c>
      <c r="I89" t="s">
        <v>15</v>
      </c>
    </row>
    <row r="90" spans="1:9" x14ac:dyDescent="0.35">
      <c r="A90">
        <f t="shared" si="2"/>
        <v>2025</v>
      </c>
      <c r="B90">
        <f t="shared" si="3"/>
        <v>9</v>
      </c>
      <c r="C90" s="4">
        <v>45926</v>
      </c>
      <c r="D90">
        <v>30.7</v>
      </c>
      <c r="E90">
        <v>69</v>
      </c>
      <c r="H90">
        <v>12.6</v>
      </c>
      <c r="I90">
        <v>0</v>
      </c>
    </row>
    <row r="91" spans="1:9" x14ac:dyDescent="0.35">
      <c r="A91">
        <f t="shared" si="2"/>
        <v>2025</v>
      </c>
      <c r="B91">
        <f t="shared" si="3"/>
        <v>9</v>
      </c>
      <c r="C91" s="4">
        <v>45927</v>
      </c>
      <c r="D91">
        <v>31.1</v>
      </c>
      <c r="E91">
        <v>70</v>
      </c>
      <c r="H91">
        <v>11.5</v>
      </c>
      <c r="I91">
        <v>0</v>
      </c>
    </row>
    <row r="92" spans="1:9" x14ac:dyDescent="0.35">
      <c r="A92">
        <f t="shared" si="2"/>
        <v>2025</v>
      </c>
      <c r="B92">
        <f t="shared" si="3"/>
        <v>9</v>
      </c>
      <c r="C92" s="4">
        <v>45928</v>
      </c>
      <c r="D92">
        <v>30.4</v>
      </c>
      <c r="E92">
        <v>77</v>
      </c>
      <c r="H92">
        <v>6</v>
      </c>
      <c r="I92">
        <v>0</v>
      </c>
    </row>
    <row r="93" spans="1:9" x14ac:dyDescent="0.35">
      <c r="A93">
        <f t="shared" si="2"/>
        <v>2025</v>
      </c>
      <c r="B93">
        <f t="shared" si="3"/>
        <v>9</v>
      </c>
      <c r="C93" s="4">
        <v>45929</v>
      </c>
      <c r="D93">
        <v>29.6</v>
      </c>
      <c r="E93">
        <v>84</v>
      </c>
      <c r="H93">
        <v>6</v>
      </c>
      <c r="I93">
        <v>0</v>
      </c>
    </row>
    <row r="94" spans="1:9" x14ac:dyDescent="0.35">
      <c r="A94">
        <f t="shared" si="2"/>
        <v>2025</v>
      </c>
      <c r="B94">
        <f t="shared" si="3"/>
        <v>9</v>
      </c>
      <c r="C94" s="4">
        <v>45930</v>
      </c>
      <c r="D94">
        <v>30</v>
      </c>
      <c r="E94">
        <v>78</v>
      </c>
      <c r="H94">
        <v>5.5</v>
      </c>
      <c r="I94">
        <v>0</v>
      </c>
    </row>
    <row r="95" spans="1:9" x14ac:dyDescent="0.35">
      <c r="A95">
        <f t="shared" si="2"/>
        <v>2025</v>
      </c>
      <c r="B95">
        <f t="shared" si="3"/>
        <v>10</v>
      </c>
      <c r="C95" s="4">
        <v>45931</v>
      </c>
      <c r="D95" s="5">
        <v>30.7</v>
      </c>
      <c r="E95" s="5">
        <v>72</v>
      </c>
      <c r="F95" s="5">
        <v>1.5</v>
      </c>
      <c r="G95" s="5">
        <v>184</v>
      </c>
      <c r="I95" s="5">
        <v>0</v>
      </c>
    </row>
    <row r="96" spans="1:9" x14ac:dyDescent="0.35">
      <c r="A96">
        <f t="shared" si="2"/>
        <v>2025</v>
      </c>
      <c r="B96">
        <f t="shared" si="3"/>
        <v>10</v>
      </c>
      <c r="C96" s="4">
        <v>45932</v>
      </c>
      <c r="D96" s="5">
        <v>29.8</v>
      </c>
      <c r="E96" s="5">
        <v>71</v>
      </c>
      <c r="F96" s="5">
        <v>1.5</v>
      </c>
      <c r="G96" s="5">
        <v>138</v>
      </c>
      <c r="I96" s="5">
        <v>0</v>
      </c>
    </row>
    <row r="97" spans="1:9" x14ac:dyDescent="0.35">
      <c r="A97">
        <f t="shared" si="2"/>
        <v>2025</v>
      </c>
      <c r="B97">
        <f t="shared" si="3"/>
        <v>10</v>
      </c>
      <c r="C97" s="4">
        <v>45933</v>
      </c>
      <c r="D97" s="5">
        <v>30.1</v>
      </c>
      <c r="E97" s="5">
        <v>73</v>
      </c>
      <c r="F97" s="5">
        <v>1</v>
      </c>
      <c r="G97" s="5">
        <v>194</v>
      </c>
      <c r="I97" s="5">
        <v>0</v>
      </c>
    </row>
    <row r="98" spans="1:9" x14ac:dyDescent="0.35">
      <c r="A98">
        <f t="shared" si="2"/>
        <v>2025</v>
      </c>
      <c r="B98">
        <f t="shared" si="3"/>
        <v>10</v>
      </c>
      <c r="C98" s="4">
        <v>45934</v>
      </c>
      <c r="D98" s="5">
        <v>30.5</v>
      </c>
      <c r="E98" s="5">
        <v>78</v>
      </c>
      <c r="F98" s="5">
        <v>0.7</v>
      </c>
      <c r="G98" s="5">
        <v>187</v>
      </c>
      <c r="I98" s="5">
        <v>0</v>
      </c>
    </row>
    <row r="99" spans="1:9" x14ac:dyDescent="0.35">
      <c r="A99">
        <f t="shared" si="2"/>
        <v>2025</v>
      </c>
      <c r="B99">
        <f t="shared" si="3"/>
        <v>10</v>
      </c>
      <c r="C99" s="4">
        <v>45935</v>
      </c>
      <c r="D99" s="5">
        <v>30.6</v>
      </c>
      <c r="E99" s="5">
        <v>77</v>
      </c>
      <c r="F99" s="5">
        <v>0.8</v>
      </c>
      <c r="G99" s="5">
        <v>171</v>
      </c>
      <c r="I99" s="5">
        <v>0</v>
      </c>
    </row>
    <row r="100" spans="1:9" x14ac:dyDescent="0.35">
      <c r="A100">
        <f t="shared" si="2"/>
        <v>2025</v>
      </c>
      <c r="B100">
        <f t="shared" si="3"/>
        <v>10</v>
      </c>
      <c r="C100" s="4">
        <v>45936</v>
      </c>
      <c r="D100" s="5">
        <v>30.2</v>
      </c>
      <c r="E100" s="5">
        <v>74</v>
      </c>
      <c r="F100" s="5">
        <v>1.2</v>
      </c>
      <c r="G100" s="5">
        <v>154</v>
      </c>
      <c r="I100" s="5">
        <v>0</v>
      </c>
    </row>
    <row r="101" spans="1:9" x14ac:dyDescent="0.35">
      <c r="A101">
        <f t="shared" si="2"/>
        <v>2025</v>
      </c>
      <c r="B101">
        <f t="shared" si="3"/>
        <v>10</v>
      </c>
      <c r="C101" s="4">
        <v>45937</v>
      </c>
      <c r="D101" s="5">
        <v>30.5</v>
      </c>
      <c r="E101" s="5">
        <v>69</v>
      </c>
      <c r="F101" s="5">
        <v>1.5</v>
      </c>
      <c r="G101" s="5">
        <v>189</v>
      </c>
      <c r="I101" s="5">
        <v>0</v>
      </c>
    </row>
    <row r="102" spans="1:9" x14ac:dyDescent="0.35">
      <c r="A102">
        <f t="shared" si="2"/>
        <v>2025</v>
      </c>
      <c r="B102">
        <f t="shared" si="3"/>
        <v>10</v>
      </c>
      <c r="C102" s="4">
        <v>45938</v>
      </c>
      <c r="D102" s="5">
        <v>28.6</v>
      </c>
      <c r="E102" s="5">
        <v>83</v>
      </c>
      <c r="F102" s="5">
        <v>1.1000000000000001</v>
      </c>
      <c r="G102" s="5">
        <v>20</v>
      </c>
      <c r="I102" s="5">
        <v>0</v>
      </c>
    </row>
    <row r="103" spans="1:9" x14ac:dyDescent="0.35">
      <c r="A103">
        <f t="shared" si="2"/>
        <v>2025</v>
      </c>
      <c r="B103">
        <f t="shared" si="3"/>
        <v>10</v>
      </c>
      <c r="C103" s="4">
        <v>45939</v>
      </c>
      <c r="D103" s="5">
        <v>29.3</v>
      </c>
      <c r="E103" s="5">
        <v>75</v>
      </c>
      <c r="F103" s="5">
        <v>1.6</v>
      </c>
      <c r="G103" s="5">
        <v>26</v>
      </c>
      <c r="I103" s="5">
        <v>0</v>
      </c>
    </row>
    <row r="104" spans="1:9" x14ac:dyDescent="0.35">
      <c r="A104">
        <f t="shared" si="2"/>
        <v>2025</v>
      </c>
      <c r="B104">
        <f t="shared" si="3"/>
        <v>10</v>
      </c>
      <c r="C104" s="4">
        <v>45940</v>
      </c>
      <c r="D104" s="5">
        <v>29.9</v>
      </c>
      <c r="E104" s="5">
        <v>74</v>
      </c>
      <c r="F104" s="5">
        <v>1.1000000000000001</v>
      </c>
      <c r="G104" s="5">
        <v>177</v>
      </c>
      <c r="I104" s="5">
        <v>0</v>
      </c>
    </row>
    <row r="105" spans="1:9" x14ac:dyDescent="0.35">
      <c r="A105">
        <f t="shared" si="2"/>
        <v>2025</v>
      </c>
      <c r="B105">
        <f t="shared" si="3"/>
        <v>10</v>
      </c>
      <c r="C105" s="4">
        <v>45941</v>
      </c>
      <c r="D105" s="5">
        <v>30.2</v>
      </c>
      <c r="E105" s="5">
        <v>71</v>
      </c>
      <c r="F105" s="5">
        <v>1.3</v>
      </c>
      <c r="G105" s="5">
        <v>150</v>
      </c>
      <c r="I105" s="5">
        <v>0</v>
      </c>
    </row>
    <row r="106" spans="1:9" x14ac:dyDescent="0.35">
      <c r="A106">
        <f t="shared" si="2"/>
        <v>2025</v>
      </c>
      <c r="B106">
        <f t="shared" si="3"/>
        <v>10</v>
      </c>
      <c r="C106" s="4">
        <v>45942</v>
      </c>
      <c r="D106" s="5">
        <v>29.5</v>
      </c>
      <c r="E106" s="5">
        <v>74</v>
      </c>
      <c r="F106" s="5">
        <v>0.8</v>
      </c>
      <c r="G106" s="5">
        <v>185</v>
      </c>
      <c r="I106" s="5">
        <v>0</v>
      </c>
    </row>
    <row r="107" spans="1:9" x14ac:dyDescent="0.35">
      <c r="A107">
        <f t="shared" si="2"/>
        <v>2025</v>
      </c>
      <c r="B107">
        <f t="shared" si="3"/>
        <v>10</v>
      </c>
      <c r="C107" s="4">
        <v>45943</v>
      </c>
      <c r="D107" s="5">
        <v>29.9</v>
      </c>
      <c r="E107" s="5">
        <v>79</v>
      </c>
      <c r="F107" s="5">
        <v>0.8</v>
      </c>
      <c r="G107" s="5">
        <v>194</v>
      </c>
      <c r="I107" s="5">
        <v>0</v>
      </c>
    </row>
    <row r="108" spans="1:9" x14ac:dyDescent="0.35">
      <c r="A108">
        <f t="shared" si="2"/>
        <v>2025</v>
      </c>
      <c r="B108">
        <f t="shared" si="3"/>
        <v>10</v>
      </c>
      <c r="C108" s="4">
        <v>45944</v>
      </c>
      <c r="D108" s="5">
        <v>30.8</v>
      </c>
      <c r="E108" s="5">
        <v>71</v>
      </c>
      <c r="F108" s="5">
        <v>1.6</v>
      </c>
      <c r="G108" s="5">
        <v>171</v>
      </c>
      <c r="I108" s="5">
        <v>0</v>
      </c>
    </row>
    <row r="109" spans="1:9" x14ac:dyDescent="0.35">
      <c r="A109">
        <f t="shared" si="2"/>
        <v>2025</v>
      </c>
      <c r="B109">
        <f t="shared" si="3"/>
        <v>10</v>
      </c>
      <c r="C109" s="4">
        <v>45945</v>
      </c>
      <c r="D109" s="5">
        <v>30.1</v>
      </c>
      <c r="E109" s="5">
        <v>68</v>
      </c>
      <c r="F109" s="5">
        <v>2.2999999999999998</v>
      </c>
      <c r="G109" s="5">
        <v>141</v>
      </c>
      <c r="I109" s="5">
        <v>0</v>
      </c>
    </row>
    <row r="110" spans="1:9" x14ac:dyDescent="0.35">
      <c r="A110">
        <f t="shared" si="2"/>
        <v>2025</v>
      </c>
      <c r="B110">
        <f t="shared" si="3"/>
        <v>10</v>
      </c>
      <c r="C110" s="4">
        <v>45946</v>
      </c>
      <c r="D110" s="5">
        <v>30.3</v>
      </c>
      <c r="E110" s="5">
        <v>67</v>
      </c>
      <c r="F110" s="5">
        <v>1.6</v>
      </c>
      <c r="G110" s="5">
        <v>124</v>
      </c>
      <c r="I110" s="5">
        <v>0</v>
      </c>
    </row>
    <row r="111" spans="1:9" x14ac:dyDescent="0.35">
      <c r="A111">
        <f t="shared" si="2"/>
        <v>2025</v>
      </c>
      <c r="B111">
        <f t="shared" si="3"/>
        <v>10</v>
      </c>
      <c r="C111" s="4">
        <v>45947</v>
      </c>
      <c r="D111" s="5">
        <v>30.7</v>
      </c>
      <c r="E111" s="5">
        <v>68</v>
      </c>
      <c r="F111" s="5">
        <v>2.1</v>
      </c>
      <c r="G111" s="5">
        <v>106</v>
      </c>
      <c r="I111" s="5">
        <v>0</v>
      </c>
    </row>
    <row r="112" spans="1:9" x14ac:dyDescent="0.35">
      <c r="A112">
        <f t="shared" si="2"/>
        <v>2025</v>
      </c>
      <c r="B112">
        <f t="shared" si="3"/>
        <v>10</v>
      </c>
      <c r="C112" s="4">
        <v>45948</v>
      </c>
      <c r="D112" s="5">
        <v>30.8</v>
      </c>
      <c r="E112" s="5">
        <v>67</v>
      </c>
      <c r="F112" s="5">
        <v>2</v>
      </c>
      <c r="G112" s="5">
        <v>170</v>
      </c>
      <c r="I112" s="5">
        <v>0</v>
      </c>
    </row>
    <row r="113" spans="1:9" x14ac:dyDescent="0.35">
      <c r="A113">
        <f t="shared" si="2"/>
        <v>2025</v>
      </c>
      <c r="B113">
        <f t="shared" si="3"/>
        <v>10</v>
      </c>
      <c r="C113" s="4">
        <v>45949</v>
      </c>
      <c r="D113" s="5">
        <v>27.3</v>
      </c>
      <c r="E113" s="5">
        <v>85</v>
      </c>
      <c r="F113" s="5">
        <v>0.9</v>
      </c>
      <c r="G113" s="5">
        <v>165</v>
      </c>
      <c r="I113" s="5">
        <v>65.5</v>
      </c>
    </row>
    <row r="114" spans="1:9" x14ac:dyDescent="0.35">
      <c r="A114">
        <f t="shared" si="2"/>
        <v>2025</v>
      </c>
      <c r="B114">
        <f t="shared" si="3"/>
        <v>10</v>
      </c>
      <c r="C114" s="4">
        <v>45950</v>
      </c>
      <c r="D114" s="5">
        <v>24</v>
      </c>
      <c r="E114" s="5">
        <v>94</v>
      </c>
      <c r="F114" s="5">
        <v>1.7</v>
      </c>
      <c r="G114" s="5">
        <v>343</v>
      </c>
      <c r="I114" s="5">
        <v>209</v>
      </c>
    </row>
    <row r="115" spans="1:9" x14ac:dyDescent="0.35">
      <c r="A115">
        <f t="shared" si="2"/>
        <v>2025</v>
      </c>
      <c r="B115">
        <f t="shared" si="3"/>
        <v>10</v>
      </c>
      <c r="C115" s="4">
        <v>45951</v>
      </c>
      <c r="D115" s="5">
        <v>22</v>
      </c>
      <c r="E115" s="5">
        <v>93</v>
      </c>
      <c r="F115" s="5">
        <v>0.9</v>
      </c>
      <c r="G115" s="5">
        <v>326</v>
      </c>
      <c r="I115" s="5">
        <v>131</v>
      </c>
    </row>
    <row r="116" spans="1:9" x14ac:dyDescent="0.35">
      <c r="A116">
        <f t="shared" si="2"/>
        <v>2025</v>
      </c>
      <c r="B116">
        <f t="shared" si="3"/>
        <v>10</v>
      </c>
      <c r="C116" s="4">
        <v>45952</v>
      </c>
      <c r="D116" s="5">
        <v>22.3</v>
      </c>
      <c r="E116" s="5">
        <v>93</v>
      </c>
      <c r="F116" s="5">
        <v>1.5</v>
      </c>
      <c r="G116" s="5">
        <v>332</v>
      </c>
      <c r="I116" s="5">
        <v>165.5</v>
      </c>
    </row>
    <row r="117" spans="1:9" x14ac:dyDescent="0.35">
      <c r="A117">
        <f t="shared" si="2"/>
        <v>2025</v>
      </c>
      <c r="B117">
        <f t="shared" si="3"/>
        <v>10</v>
      </c>
      <c r="C117" s="4">
        <v>45953</v>
      </c>
      <c r="D117" s="5">
        <v>22.3</v>
      </c>
      <c r="E117" s="5">
        <v>93</v>
      </c>
      <c r="F117" s="5">
        <v>0.2</v>
      </c>
      <c r="G117" s="5">
        <v>0</v>
      </c>
      <c r="I117" s="5">
        <v>56.5</v>
      </c>
    </row>
    <row r="118" spans="1:9" x14ac:dyDescent="0.35">
      <c r="A118">
        <f t="shared" si="2"/>
        <v>2025</v>
      </c>
      <c r="B118">
        <f t="shared" si="3"/>
        <v>10</v>
      </c>
      <c r="C118" s="4">
        <v>45954</v>
      </c>
      <c r="D118" s="5">
        <v>22</v>
      </c>
      <c r="E118" s="5">
        <v>93</v>
      </c>
      <c r="F118" s="5">
        <v>0.1</v>
      </c>
      <c r="G118" s="5">
        <v>0</v>
      </c>
      <c r="I118" s="5">
        <v>99.5</v>
      </c>
    </row>
    <row r="119" spans="1:9" x14ac:dyDescent="0.35">
      <c r="A119">
        <f t="shared" si="2"/>
        <v>2025</v>
      </c>
      <c r="B119">
        <f t="shared" si="3"/>
        <v>10</v>
      </c>
      <c r="C119" s="4">
        <v>45955</v>
      </c>
      <c r="D119" s="5">
        <v>23</v>
      </c>
      <c r="E119" s="5">
        <v>94</v>
      </c>
      <c r="F119" s="5">
        <v>0.1</v>
      </c>
      <c r="G119" s="5">
        <v>0</v>
      </c>
      <c r="I119" s="5">
        <v>31.5</v>
      </c>
    </row>
    <row r="120" spans="1:9" x14ac:dyDescent="0.35">
      <c r="A120">
        <f t="shared" si="2"/>
        <v>2025</v>
      </c>
      <c r="B120">
        <f t="shared" si="3"/>
        <v>10</v>
      </c>
      <c r="C120" s="4">
        <v>45956</v>
      </c>
      <c r="D120" s="5">
        <v>22.2</v>
      </c>
      <c r="E120" s="5">
        <v>94</v>
      </c>
      <c r="F120" s="5">
        <v>0.1</v>
      </c>
      <c r="G120" s="5">
        <v>0</v>
      </c>
      <c r="I120" s="5">
        <v>11.5</v>
      </c>
    </row>
    <row r="121" spans="1:9" x14ac:dyDescent="0.35">
      <c r="A121">
        <f t="shared" si="2"/>
        <v>2025</v>
      </c>
      <c r="B121">
        <f t="shared" si="3"/>
        <v>10</v>
      </c>
      <c r="C121" s="4">
        <v>45957</v>
      </c>
      <c r="D121" s="5">
        <v>21.2</v>
      </c>
      <c r="E121" s="5">
        <v>92</v>
      </c>
      <c r="F121" s="5">
        <v>0.3</v>
      </c>
      <c r="G121" s="5">
        <v>195</v>
      </c>
      <c r="I121" s="5">
        <v>16</v>
      </c>
    </row>
    <row r="122" spans="1:9" x14ac:dyDescent="0.35">
      <c r="A122">
        <f t="shared" si="2"/>
        <v>2025</v>
      </c>
      <c r="B122">
        <f t="shared" si="3"/>
        <v>10</v>
      </c>
      <c r="C122" s="4">
        <v>45958</v>
      </c>
      <c r="D122" s="5">
        <v>21.3</v>
      </c>
      <c r="E122" s="5">
        <v>93</v>
      </c>
      <c r="F122" s="5">
        <v>0.2</v>
      </c>
      <c r="G122" s="5">
        <v>0</v>
      </c>
      <c r="I122" s="5">
        <v>48</v>
      </c>
    </row>
    <row r="123" spans="1:9" x14ac:dyDescent="0.35">
      <c r="A123">
        <f t="shared" si="2"/>
        <v>2025</v>
      </c>
      <c r="B123">
        <f t="shared" si="3"/>
        <v>10</v>
      </c>
      <c r="C123" s="4">
        <v>45959</v>
      </c>
      <c r="D123" s="5">
        <v>22.7</v>
      </c>
      <c r="E123" s="5">
        <v>88</v>
      </c>
      <c r="F123" s="5">
        <v>1.5</v>
      </c>
      <c r="G123" s="5">
        <v>202</v>
      </c>
      <c r="I123" s="5">
        <v>1</v>
      </c>
    </row>
    <row r="124" spans="1:9" x14ac:dyDescent="0.35">
      <c r="A124">
        <f t="shared" si="2"/>
        <v>2025</v>
      </c>
      <c r="B124">
        <f t="shared" si="3"/>
        <v>10</v>
      </c>
      <c r="C124" s="4">
        <v>45960</v>
      </c>
      <c r="D124" s="5">
        <v>26.7</v>
      </c>
      <c r="E124" s="5">
        <v>85</v>
      </c>
      <c r="F124" s="5">
        <v>1.1000000000000001</v>
      </c>
      <c r="G124" s="5">
        <v>198</v>
      </c>
      <c r="I124" s="5">
        <v>0</v>
      </c>
    </row>
    <row r="125" spans="1:9" x14ac:dyDescent="0.35">
      <c r="A125">
        <f t="shared" si="2"/>
        <v>2025</v>
      </c>
      <c r="B125">
        <f t="shared" si="3"/>
        <v>10</v>
      </c>
      <c r="C125" s="4">
        <v>45961</v>
      </c>
      <c r="D125" s="5">
        <v>22.7</v>
      </c>
      <c r="E125" s="5">
        <v>95</v>
      </c>
      <c r="F125" s="5">
        <v>0.4</v>
      </c>
      <c r="G125" s="5">
        <v>333</v>
      </c>
      <c r="I125" s="5">
        <v>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C4A7EF-7272-438B-B567-866C679FD1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dashboard</vt:lpstr>
      <vt:lpstr>register</vt:lpstr>
      <vt:lpstr>raw data table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Flora</dc:creator>
  <cp:lastModifiedBy>Liu, Flora</cp:lastModifiedBy>
  <dcterms:created xsi:type="dcterms:W3CDTF">2015-06-05T18:17:20Z</dcterms:created>
  <dcterms:modified xsi:type="dcterms:W3CDTF">2025-11-20T01:27:57Z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2025-10-29T05:21:20Z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3cf36001-d174-4c03-ac07-0e5d70da4932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